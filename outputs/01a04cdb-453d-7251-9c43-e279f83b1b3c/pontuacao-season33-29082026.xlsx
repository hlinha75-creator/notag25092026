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151bf4f01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82583c48cad4178"/>
    <x:sheet xmlns:r="http://schemas.openxmlformats.org/officeDocument/2006/relationships" name="Ranking Season" sheetId="2" r:id="R05e2bd5d91994fc2"/>
    <x:sheet xmlns:r="http://schemas.openxmlformats.org/officeDocument/2006/relationships" name="Pontos Brutos" sheetId="3" r:id="R58414a3972a24989"/>
    <x:sheet xmlns:r="http://schemas.openxmlformats.org/officeDocument/2006/relationships" name="Categorias" sheetId="4" r:id="R6b33789a7ff340b7"/>
    <x:sheet xmlns:r="http://schemas.openxmlformats.org/officeDocument/2006/relationships" name="Fonte e Método" sheetId="5" r:id="Rcbeadf514eb4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"/>
    <x:numFmt numFmtId="203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1717"/>
      <x:name val="Carlito"/>
    </x:font>
    <x:font>
      <x:sz val="11"/>
      <x:color rgb="FF171717"/>
      <x:name val="Carlito"/>
    </x:font>
    <x:font>
      <x:b/>
      <x:sz val="11"/>
      <x:color rgb="FFFFFFFF"/>
      <x:name val="Carlito"/>
    </x:font>
    <x:font>
      <x:sz val="11"/>
      <x:color rgb="FF6B62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4E3B2"/>
      </x:patternFill>
    </x:fill>
    <x:fill>
      <x:patternFill patternType="solid">
        <x:fgColor rgb="FFFFF7E6"/>
      </x:patternFill>
    </x:fill>
    <x:fill>
      <x:patternFill patternType="solid">
        <x:fgColor rgb="FFC8922F"/>
      </x:patternFill>
    </x:fill>
    <x:fill>
      <x:patternFill patternType="solid">
        <x:fgColor rgb="FFFFFCF5"/>
      </x:patternFill>
    </x:fill>
  </x:fills>
  <x:borders count="13">
    <x:border/>
    <x:border>
      <x:right style="thin">
        <x:color rgb="FFE6D09B"/>
      </x:right>
    </x:border>
    <x:border>
      <x:left style="thin">
        <x:color rgb="FFE6D09B"/>
      </x:left>
      <x:right style="thin">
        <x:color rgb="FFE6D09B"/>
      </x:right>
    </x:border>
    <x:border>
      <x:left style="thin">
        <x:color rgb="FFE6D09B"/>
      </x:left>
    </x:border>
    <x:border>
      <x:right style="thin">
        <x:color rgb="FFE8E0D2"/>
      </x:right>
      <x:bottom style="thin">
        <x:color rgb="FFE8E0D2"/>
      </x:bottom>
    </x:border>
    <x:border>
      <x:left style="thin">
        <x:color rgb="FFE8E0D2"/>
      </x:left>
      <x:right style="thin">
        <x:color rgb="FFE8E0D2"/>
      </x:right>
      <x:bottom style="thin">
        <x:color rgb="FFE8E0D2"/>
      </x:bottom>
    </x:border>
    <x:border>
      <x:left style="thin">
        <x:color rgb="FFE8E0D2"/>
      </x:left>
      <x:right style="thin">
        <x:color rgb="FFE6D09B"/>
      </x:right>
      <x:bottom style="thin">
        <x:color rgb="FFE8E0D2"/>
      </x:bottom>
    </x:border>
    <x:border>
      <x:right style="thin">
        <x:color rgb="FFE8E0D2"/>
      </x:right>
      <x:top style="thin">
        <x:color rgb="FFE8E0D2"/>
      </x:top>
      <x:bottom style="thin">
        <x:color rgb="FFE8E0D2"/>
      </x:bottom>
    </x:border>
    <x:border>
      <x:left style="thin">
        <x:color rgb="FFE8E0D2"/>
      </x:left>
      <x:right style="thin">
        <x:color rgb="FFE8E0D2"/>
      </x:right>
      <x:top style="thin">
        <x:color rgb="FFE8E0D2"/>
      </x:top>
      <x:bottom style="thin">
        <x:color rgb="FFE8E0D2"/>
      </x:bottom>
    </x:border>
    <x:border>
      <x:left style="thin">
        <x:color rgb="FFE8E0D2"/>
      </x:left>
      <x:right style="thin">
        <x:color rgb="FFE6D09B"/>
      </x:right>
      <x:top style="thin">
        <x:color rgb="FFE8E0D2"/>
      </x:top>
      <x:bottom style="thin">
        <x:color rgb="FFE8E0D2"/>
      </x:bottom>
    </x:border>
    <x:border>
      <x:right style="thin">
        <x:color rgb="FFE8E0D2"/>
      </x:right>
      <x:top style="thin">
        <x:color rgb="FFE8E0D2"/>
      </x:top>
    </x:border>
    <x:border>
      <x:left style="thin">
        <x:color rgb="FFE8E0D2"/>
      </x:left>
      <x:right style="thin">
        <x:color rgb="FFE8E0D2"/>
      </x:right>
      <x:top style="thin">
        <x:color rgb="FFE8E0D2"/>
      </x:top>
    </x:border>
    <x:border>
      <x:left style="thin">
        <x:color rgb="FFE8E0D2"/>
      </x:left>
      <x:right style="thin">
        <x:color rgb="FFE6D09B"/>
      </x:right>
      <x:top style="thin">
        <x:color rgb="FFE8E0D2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203" fontId="0" fillId="0" borderId="12" xfId="0" applyNumberFormat="1" applyFont="1" applyFill="1" applyBorder="1"/>
    <x:xf numFmtId="0" fontId="0" fillId="6" borderId="7" xfId="0" applyNumberFormat="1" applyFont="1" applyFill="1" applyBorder="1"/>
    <x:xf numFmtId="200" fontId="0" fillId="6" borderId="8" xfId="0" applyNumberFormat="1" applyFont="1" applyFill="1" applyBorder="1"/>
    <x:xf numFmtId="203" fontId="0" fillId="6" borderId="9" xfId="0" applyNumberFormat="1" applyFont="1" applyFill="1" applyBorder="1"/>
    <x:xf numFmtId="0" fontId="0" fillId="6" borderId="10" xfId="0" applyNumberFormat="1" applyFont="1" applyFill="1" applyBorder="1"/>
    <x:xf numFmtId="200" fontId="0" fillId="6" borderId="11" xfId="0" applyNumberFormat="1" applyFont="1" applyFill="1" applyBorder="1"/>
    <x:xf numFmtId="203" fontId="0" fillId="6" borderId="12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10" xfId="0" applyNumberFormat="1" applyFont="1" applyFill="1" applyBorder="1"/>
    <x:xf numFmtId="0" fontId="0" fillId="0" borderId="11" xfId="0" applyNumberFormat="1" applyFont="1" applyFill="1" applyBorder="1"/>
    <x:xf numFmtId="203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80c1987f64f67" /><Relationship Type="http://schemas.openxmlformats.org/officeDocument/2006/relationships/theme" Target="/xl/theme/theme1.xml" Id="R99939f79fd8d4b54" /><Relationship Type="http://schemas.openxmlformats.org/officeDocument/2006/relationships/sharedStrings" Target="/xl/sharedStrings.xml" Id="Rb78cdd95cfd44623" /><Relationship Type="http://schemas.openxmlformats.org/officeDocument/2006/relationships/worksheet" Target="/xl/worksheets/sheet1.xml" Id="R782583c48cad4178" /><Relationship Type="http://schemas.openxmlformats.org/officeDocument/2006/relationships/worksheet" Target="/xl/worksheets/sheet2.xml" Id="R05e2bd5d91994fc2" /><Relationship Type="http://schemas.openxmlformats.org/officeDocument/2006/relationships/worksheet" Target="/xl/worksheets/sheet3.xml" Id="R58414a3972a24989" /><Relationship Type="http://schemas.openxmlformats.org/officeDocument/2006/relationships/worksheet" Target="/xl/worksheets/sheet4.xml" Id="R6b33789a7ff340b7" /><Relationship Type="http://schemas.openxmlformats.org/officeDocument/2006/relationships/worksheet" Target="/xl/worksheets/sheet5.xml" Id="Rcbeadf514eb441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19" hidden="0" customWidth="1"/>
    <x:col min="5" max="5" width="12" hidden="0" customWidth="1"/>
    <x:col min="6" max="6" width="3" hidden="0" customWidth="1"/>
    <x:col min="7" max="7" width="8" hidden="0" customWidth="1"/>
    <x:col min="8" max="8" width="32" hidden="0" customWidth="1"/>
  </x:cols>
  <x:sheetData>
    <x:row r="1" ht="30" customHeight="1">
      <x:c r="A1" s="3" t="str">
        <x:v>NoTag · Pontuação da Season 33</x:v>
      </x:c>
      <x:c r="B1" s="3" t="str">
        <x:v>NoTag · Pontuação da Season 33</x:v>
      </x:c>
      <x:c r="C1" s="3" t="str">
        <x:v>NoTag · Pontuação da Season 33</x:v>
      </x:c>
      <x:c r="D1" s="3" t="str">
        <x:v>NoTag · Pontuação da Season 33</x:v>
      </x:c>
      <x:c r="E1" s="3" t="str">
        <x:v>NoTag · Pontuação da Season 33</x:v>
      </x:c>
      <x:c r="F1" s="3" t="str">
        <x:v>NoTag · Pontuação da Season 33</x:v>
      </x:c>
      <x:c r="G1" s="3" t="str">
        <x:v>NoTag · Pontuação da Season 33</x:v>
      </x:c>
      <x:c r="H1" s="3" t="str">
        <x:v>NoTag · Pontuação da Season 33</x:v>
      </x:c>
    </x:row>
    <x:row r="3" ht="26" customHeight="1">
      <x:c r="A3" s="5" t="str">
        <x:v>Guilda</x:v>
      </x:c>
      <x:c r="B3" s="7" t="str">
        <x:v>NoTag</x:v>
      </x:c>
      <x:c r="G3" s="17" t="str">
        <x:v>Top</x:v>
      </x:c>
      <x:c r="H3" s="19" t="str">
        <x:v>Jogador / pontos</x:v>
      </x:c>
    </x:row>
    <x:row r="4">
      <x:c r="A4" s="5" t="str">
        <x:v>Data do levantamento</x:v>
      </x:c>
      <x:c r="B4" s="7" t="str">
        <x:v>2026-08-29</x:v>
      </x:c>
      <x:c r="G4" s="22" t="n">
        <x:v>1</x:v>
      </x:c>
      <x:c r="H4" t="str">
        <x:v>Tmaiusculo · 8.871,42</x:v>
      </x:c>
    </x:row>
    <x:row r="5">
      <x:c r="A5" s="5" t="str">
        <x:v>Ranking oficial</x:v>
      </x:c>
      <x:c r="B5" s="8" t="n">
        <x:v>84</x:v>
      </x:c>
      <x:c r="G5" s="22" t="n">
        <x:v>2</x:v>
      </x:c>
      <x:c r="H5" t="str">
        <x:v>TKZX · 6.187,92</x:v>
      </x:c>
    </x:row>
    <x:row r="6">
      <x:c r="A6" s="5" t="str">
        <x:v>Pontos oficiais</x:v>
      </x:c>
      <x:c r="B6" s="8" t="n">
        <x:v>150732</x:v>
      </x:c>
      <x:c r="G6" s="22" t="n">
        <x:v>3</x:v>
      </x:c>
      <x:c r="H6" t="str">
        <x:v>Akuma1000 · 6.178,63</x:v>
      </x:c>
    </x:row>
    <x:row r="7">
      <x:c r="A7" s="5" t="str">
        <x:v>Jogadores identificados</x:v>
      </x:c>
      <x:c r="B7" s="8" t="n">
        <x:v>270</x:v>
      </x:c>
      <x:c r="G7" s="22" t="n">
        <x:v>4</x:v>
      </x:c>
      <x:c r="H7" t="str">
        <x:v>Euhh · 5.373,21</x:v>
      </x:c>
    </x:row>
    <x:row r="8">
      <x:c r="G8" s="22" t="n">
        <x:v>5</x:v>
      </x:c>
      <x:c r="H8" t="str">
        <x:v>minhafemea1 · 5.265,32</x:v>
      </x:c>
    </x:row>
    <x:row r="9" ht="26" customHeight="1">
      <x:c r="A9" s="17" t="str">
        <x:v>Categoria</x:v>
      </x:c>
      <x:c r="B9" s="18" t="str">
        <x:v>Pontos Season</x:v>
      </x:c>
      <x:c r="C9" s="18" t="str">
        <x:v>% da guilda</x:v>
      </x:c>
      <x:c r="D9" s="18" t="str">
        <x:v>Pontos brutos</x:v>
      </x:c>
      <x:c r="E9" s="19" t="str">
        <x:v>Linhas</x:v>
      </x:c>
      <x:c r="G9" s="22" t="n">
        <x:v>6</x:v>
      </x:c>
      <x:c r="H9" t="str">
        <x:v>Sabedoria7 · 4.649,66</x:v>
      </x:c>
    </x:row>
    <x:row r="10">
      <x:c r="A10" t="str">
        <x:v>Guild Challenge</x:v>
      </x:c>
      <x:c r="B10" s="20" t="n">
        <x:v>17100</x:v>
      </x:c>
      <x:c r="C10" s="21" t="n">
        <x:f>B10/$B$6</x:f>
        <x:v>0.11344638165751135</x:v>
      </x:c>
      <x:c r="D10" s="20" t="n">
        <x:v>212132955</x:v>
      </x:c>
      <x:c r="E10" s="20" t="n">
        <x:v>266</x:v>
      </x:c>
      <x:c r="G10" s="22" t="n">
        <x:v>7</x:v>
      </x:c>
      <x:c r="H10" t="str">
        <x:v>PlantsTK · 4.201,04</x:v>
      </x:c>
    </x:row>
    <x:row r="11">
      <x:c r="A11" t="str">
        <x:v>PvE Black</x:v>
      </x:c>
      <x:c r="B11" s="20" t="n">
        <x:v>11000</x:v>
      </x:c>
      <x:c r="C11" s="21" t="n">
        <x:f>B11/$B$6</x:f>
        <x:v>0.0729772045750073</x:v>
      </x:c>
      <x:c r="D11" s="20" t="n">
        <x:v>31087804</x:v>
      </x:c>
      <x:c r="E11" s="20" t="n">
        <x:v>205</x:v>
      </x:c>
      <x:c r="G11" s="22" t="n">
        <x:v>8</x:v>
      </x:c>
      <x:c r="H11" t="str">
        <x:v>dsn · 3.914,55</x:v>
      </x:c>
    </x:row>
    <x:row r="12">
      <x:c r="A12" t="str">
        <x:v>Coleta Black</x:v>
      </x:c>
      <x:c r="B12" s="20" t="n">
        <x:v>7600</x:v>
      </x:c>
      <x:c r="C12" s="21" t="n">
        <x:f>B12/$B$6</x:f>
        <x:v>0.05042061407000504</x:v>
      </x:c>
      <x:c r="D12" s="20" t="n">
        <x:v>1929619</x:v>
      </x:c>
      <x:c r="E12" s="20" t="n">
        <x:v>97</x:v>
      </x:c>
      <x:c r="G12" s="22" t="n">
        <x:v>9</x:v>
      </x:c>
      <x:c r="H12" t="str">
        <x:v>jrfate · 3.726,63</x:v>
      </x:c>
    </x:row>
    <x:row r="13">
      <x:c r="A13" t="str">
        <x:v>Power Cores</x:v>
      </x:c>
      <x:c r="B13" s="20" t="n">
        <x:v>6075</x:v>
      </x:c>
      <x:c r="C13" s="21" t="n">
        <x:f>B13/$B$6</x:f>
        <x:v>0.04030331979937903</x:v>
      </x:c>
      <x:c r="D13" s="20" t="n">
        <x:v>6179525</x:v>
      </x:c>
      <x:c r="E13" s="20" t="n">
        <x:v>102</x:v>
      </x:c>
      <x:c r="G13" s="22" t="n">
        <x:v>10</x:v>
      </x:c>
      <x:c r="H13" t="str">
        <x:v>VTracer · 3.654,56</x:v>
      </x:c>
    </x:row>
    <x:row r="14">
      <x:c r="A14" t="str">
        <x:v>Tesouros Black</x:v>
      </x:c>
      <x:c r="B14" s="20" t="n">
        <x:v>5616</x:v>
      </x:c>
      <x:c r="C14" s="21" t="n">
        <x:f>B14/$B$6</x:f>
        <x:v>0.037258180081203726</x:v>
      </x:c>
      <x:c r="D14" s="20" t="n">
        <x:v>3667207</x:v>
      </x:c>
      <x:c r="E14" s="20" t="n">
        <x:v>177</x:v>
      </x:c>
    </x:row>
    <x:row r="15">
      <x:c r="A15" t="str">
        <x:v>Keeper Uprising</x:v>
      </x:c>
      <x:c r="B15" s="20" t="n">
        <x:v>89225</x:v>
      </x:c>
      <x:c r="C15" s="21" t="n">
        <x:f>B15/$B$6</x:f>
        <x:v>0.5919446434731842</x:v>
      </x:c>
      <x:c r="D15" s="20" t="n">
        <x:v>7207273</x:v>
      </x:c>
      <x:c r="E15" s="20" t="n">
        <x:v>165</x:v>
      </x:c>
    </x:row>
    <x:row r="16">
      <x:c r="A16" t="str">
        <x:v>Contrabandistas</x:v>
      </x:c>
      <x:c r="B16" s="20" t="n">
        <x:v>4216</x:v>
      </x:c>
      <x:c r="C16" s="21" t="n">
        <x:f>B16/$B$6</x:f>
        <x:v>0.027970172226202798</x:v>
      </x:c>
      <x:c r="D16" s="20" t="n">
        <x:v>5270049</x:v>
      </x:c>
      <x:c r="E16" s="20" t="n">
        <x:v>152</x:v>
      </x:c>
    </x:row>
    <x:row r="17">
      <x:c r="A17" t="str">
        <x:v>Hellgates</x:v>
      </x:c>
      <x:c r="B17" s="20" t="n">
        <x:v>800</x:v>
      </x:c>
      <x:c r="C17" s="21" t="n">
        <x:f>B17/$B$6</x:f>
        <x:v>0.005307433060000531</x:v>
      </x:c>
      <x:c r="D17" s="20" t="n">
        <x:v>55285</x:v>
      </x:c>
      <x:c r="E17" s="20" t="n">
        <x:v>21</x:v>
      </x:c>
    </x:row>
    <x:row r="18">
      <x:c r="A18" t="str">
        <x:v>Profundezas</x:v>
      </x:c>
      <x:c r="B18" s="20" t="n">
        <x:v>6600</x:v>
      </x:c>
      <x:c r="C18" s="21" t="n">
        <x:f>B18/$B$6</x:f>
        <x:v>0.04378632274500438</x:v>
      </x:c>
      <x:c r="D18" s="20" t="n">
        <x:v>422039</x:v>
      </x:c>
      <x:c r="E18" s="20" t="n">
        <x:v>62</x:v>
      </x:c>
    </x:row>
    <x:row r="19">
      <x:c r="A19" t="str">
        <x:v>Corrompidas</x:v>
      </x:c>
      <x:c r="B19" s="20" t="n">
        <x:v>550</x:v>
      </x:c>
      <x:c r="C19" s="21" t="n">
        <x:f>B19/$B$6</x:f>
        <x:v>0.003648860228750365</x:v>
      </x:c>
      <x:c r="D19" s="20" t="n">
        <x:v>19247</x:v>
      </x:c>
      <x:c r="E19" s="20" t="n">
        <x:v>20</x:v>
      </x:c>
    </x:row>
    <x:row r="20">
      <x:c r="A20" t="str">
        <x:v>Castelos e Outposts</x:v>
      </x:c>
      <x:c r="B20" s="20" t="n">
        <x:v>1950</x:v>
      </x:c>
      <x:c r="C20" s="21" t="n">
        <x:f>B20/$B$6</x:f>
        <x:v>0.012936868083751293</x:v>
      </x:c>
      <x:c r="D20" s="20" t="n">
        <x:v>1512746</x:v>
      </x:c>
      <x:c r="E20" s="20" t="n">
        <x:v>77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2" hidden="0" customWidth="1"/>
    <x:col min="4" max="4" width="24" hidden="0" customWidth="1"/>
  </x:cols>
  <x:sheetData>
    <x:row r="1" ht="30" customHeight="1">
      <x:c r="A1" s="3" t="str">
        <x:v>Ranking estimado da Season 33</x:v>
      </x:c>
      <x:c r="B1" s="3" t="str">
        <x:v>Ranking estimado da Season 33</x:v>
      </x:c>
      <x:c r="C1" s="3" t="str">
        <x:v>Ranking estimado da Season 33</x:v>
      </x:c>
      <x:c r="D1" s="3" t="str">
        <x:v>Ranking estimado da Season 33</x:v>
      </x:c>
    </x:row>
    <x:row r="3" ht="26" customHeight="1">
      <x:c r="A3" s="24" t="str">
        <x:v>Rank</x:v>
      </x:c>
      <x:c r="B3" s="25" t="str">
        <x:v>Jogador</x:v>
      </x:c>
      <x:c r="C3" s="25" t="str">
        <x:v>Season Points estimados</x:v>
      </x:c>
      <x:c r="D3" s="26" t="str">
        <x:v>Principal categoria</x:v>
      </x:c>
    </x:row>
    <x:row r="4">
      <x:c r="A4" s="39" t="n">
        <x:f>RANK.EQ(C4,$C$4:$C$273,0)</x:f>
        <x:v>1</x:v>
      </x:c>
      <x:c r="B4" s="40" t="str">
        <x:v>Tmaiusculo</x:v>
      </x:c>
      <x:c r="C4" s="41" t="n">
        <x:f>SUMIF('Categorias'!$E$4:$E$1347,B4,'Categorias'!$G$4:$G$1347)</x:f>
        <x:v>8871.423166726088</x:v>
      </x:c>
      <x:c r="D4" s="42" t="str">
        <x:v>Keeper Uprising</x:v>
      </x:c>
    </x:row>
    <x:row r="5">
      <x:c r="A5" s="39" t="n">
        <x:f>RANK.EQ(C5,$C$4:$C$273,0)</x:f>
        <x:v>2</x:v>
      </x:c>
      <x:c r="B5" s="40" t="str">
        <x:v>TKZX</x:v>
      </x:c>
      <x:c r="C5" s="41" t="n">
        <x:f>SUMIF('Categorias'!$E$4:$E$1347,B5,'Categorias'!$G$4:$G$1347)</x:f>
        <x:v>6187.917652201935</x:v>
      </x:c>
      <x:c r="D5" s="42" t="str">
        <x:v>Keeper Uprising</x:v>
      </x:c>
    </x:row>
    <x:row r="6">
      <x:c r="A6" s="39" t="n">
        <x:f>RANK.EQ(C6,$C$4:$C$273,0)</x:f>
        <x:v>3</x:v>
      </x:c>
      <x:c r="B6" s="40" t="str">
        <x:v>Akuma1000</x:v>
      </x:c>
      <x:c r="C6" s="41" t="n">
        <x:f>SUMIF('Categorias'!$E$4:$E$1347,B6,'Categorias'!$G$4:$G$1347)</x:f>
        <x:v>6178.629177970804</x:v>
      </x:c>
      <x:c r="D6" s="42" t="str">
        <x:v>Keeper Uprising</x:v>
      </x:c>
    </x:row>
    <x:row r="7">
      <x:c r="A7" s="39" t="n">
        <x:f>RANK.EQ(C7,$C$4:$C$273,0)</x:f>
        <x:v>4</x:v>
      </x:c>
      <x:c r="B7" s="40" t="str">
        <x:v>Euhh</x:v>
      </x:c>
      <x:c r="C7" s="41" t="n">
        <x:f>SUMIF('Categorias'!$E$4:$E$1347,B7,'Categorias'!$G$4:$G$1347)</x:f>
        <x:v>5373.214255566106</x:v>
      </x:c>
      <x:c r="D7" s="42" t="str">
        <x:v>Keeper Uprising</x:v>
      </x:c>
    </x:row>
    <x:row r="8">
      <x:c r="A8" s="39" t="n">
        <x:f>RANK.EQ(C8,$C$4:$C$273,0)</x:f>
        <x:v>5</x:v>
      </x:c>
      <x:c r="B8" s="40" t="str">
        <x:v>minhafemea1</x:v>
      </x:c>
      <x:c r="C8" s="41" t="n">
        <x:f>SUMIF('Categorias'!$E$4:$E$1347,B8,'Categorias'!$G$4:$G$1347)</x:f>
        <x:v>5265.3214578025</x:v>
      </x:c>
      <x:c r="D8" s="42" t="str">
        <x:v>Keeper Uprising</x:v>
      </x:c>
    </x:row>
    <x:row r="9">
      <x:c r="A9" s="39" t="n">
        <x:f>RANK.EQ(C9,$C$4:$C$273,0)</x:f>
        <x:v>6</x:v>
      </x:c>
      <x:c r="B9" s="40" t="str">
        <x:v>Sabedoria7</x:v>
      </x:c>
      <x:c r="C9" s="41" t="n">
        <x:f>SUMIF('Categorias'!$E$4:$E$1347,B9,'Categorias'!$G$4:$G$1347)</x:f>
        <x:v>4649.662025596868</x:v>
      </x:c>
      <x:c r="D9" s="42" t="str">
        <x:v>Keeper Uprising</x:v>
      </x:c>
    </x:row>
    <x:row r="10">
      <x:c r="A10" s="39" t="n">
        <x:f>RANK.EQ(C10,$C$4:$C$273,0)</x:f>
        <x:v>7</x:v>
      </x:c>
      <x:c r="B10" s="40" t="str">
        <x:v>PlantsTK</x:v>
      </x:c>
      <x:c r="C10" s="41" t="n">
        <x:f>SUMIF('Categorias'!$E$4:$E$1347,B10,'Categorias'!$G$4:$G$1347)</x:f>
        <x:v>4201.038427868772</x:v>
      </x:c>
      <x:c r="D10" s="42" t="str">
        <x:v>Keeper Uprising</x:v>
      </x:c>
    </x:row>
    <x:row r="11">
      <x:c r="A11" s="39" t="n">
        <x:f>RANK.EQ(C11,$C$4:$C$273,0)</x:f>
        <x:v>8</x:v>
      </x:c>
      <x:c r="B11" s="40" t="str">
        <x:v>dsn</x:v>
      </x:c>
      <x:c r="C11" s="41" t="n">
        <x:f>SUMIF('Categorias'!$E$4:$E$1347,B11,'Categorias'!$G$4:$G$1347)</x:f>
        <x:v>3914.554056798353</x:v>
      </x:c>
      <x:c r="D11" s="42" t="str">
        <x:v>Keeper Uprising</x:v>
      </x:c>
    </x:row>
    <x:row r="12">
      <x:c r="A12" s="39" t="n">
        <x:f>RANK.EQ(C12,$C$4:$C$273,0)</x:f>
        <x:v>9</x:v>
      </x:c>
      <x:c r="B12" s="40" t="str">
        <x:v>jrfate</x:v>
      </x:c>
      <x:c r="C12" s="41" t="n">
        <x:f>SUMIF('Categorias'!$E$4:$E$1347,B12,'Categorias'!$G$4:$G$1347)</x:f>
        <x:v>3726.6331823459577</x:v>
      </x:c>
      <x:c r="D12" s="42" t="str">
        <x:v>PvE Black</x:v>
      </x:c>
    </x:row>
    <x:row r="13">
      <x:c r="A13" s="39" t="n">
        <x:f>RANK.EQ(C13,$C$4:$C$273,0)</x:f>
        <x:v>10</x:v>
      </x:c>
      <x:c r="B13" s="40" t="str">
        <x:v>VTracer</x:v>
      </x:c>
      <x:c r="C13" s="41" t="n">
        <x:f>SUMIF('Categorias'!$E$4:$E$1347,B13,'Categorias'!$G$4:$G$1347)</x:f>
        <x:v>3654.5595215188378</x:v>
      </x:c>
      <x:c r="D13" s="42" t="str">
        <x:v>Keeper Uprising</x:v>
      </x:c>
    </x:row>
    <x:row r="14">
      <x:c r="A14" s="39" t="n">
        <x:f>RANK.EQ(C14,$C$4:$C$273,0)</x:f>
        <x:v>11</x:v>
      </x:c>
      <x:c r="B14" s="40" t="str">
        <x:v>BSAIGunner</x:v>
      </x:c>
      <x:c r="C14" s="41" t="n">
        <x:f>SUMIF('Categorias'!$E$4:$E$1347,B14,'Categorias'!$G$4:$G$1347)</x:f>
        <x:v>3640.881559498412</x:v>
      </x:c>
      <x:c r="D14" s="42" t="str">
        <x:v>Keeper Uprising</x:v>
      </x:c>
    </x:row>
    <x:row r="15">
      <x:c r="A15" s="39" t="n">
        <x:f>RANK.EQ(C15,$C$4:$C$273,0)</x:f>
        <x:v>12</x:v>
      </x:c>
      <x:c r="B15" s="40" t="str">
        <x:v>lordkiller01</x:v>
      </x:c>
      <x:c r="C15" s="41" t="n">
        <x:f>SUMIF('Categorias'!$E$4:$E$1347,B15,'Categorias'!$G$4:$G$1347)</x:f>
        <x:v>3446.960804856808</x:v>
      </x:c>
      <x:c r="D15" s="42" t="str">
        <x:v>Keeper Uprising</x:v>
      </x:c>
    </x:row>
    <x:row r="16">
      <x:c r="A16" s="39" t="n">
        <x:f>RANK.EQ(C16,$C$4:$C$273,0)</x:f>
        <x:v>13</x:v>
      </x:c>
      <x:c r="B16" s="40" t="str">
        <x:v>OniGuM000</x:v>
      </x:c>
      <x:c r="C16" s="41" t="n">
        <x:f>SUMIF('Categorias'!$E$4:$E$1347,B16,'Categorias'!$G$4:$G$1347)</x:f>
        <x:v>3131.986687700627</x:v>
      </x:c>
      <x:c r="D16" s="42" t="str">
        <x:v>Keeper Uprising</x:v>
      </x:c>
    </x:row>
    <x:row r="17">
      <x:c r="A17" s="39" t="n">
        <x:f>RANK.EQ(C17,$C$4:$C$273,0)</x:f>
        <x:v>14</x:v>
      </x:c>
      <x:c r="B17" s="40" t="str">
        <x:v>Hi6or</x:v>
      </x:c>
      <x:c r="C17" s="41" t="n">
        <x:f>SUMIF('Categorias'!$E$4:$E$1347,B17,'Categorias'!$G$4:$G$1347)</x:f>
        <x:v>3007.2990724500855</x:v>
      </x:c>
      <x:c r="D17" s="42" t="str">
        <x:v>Keeper Uprising</x:v>
      </x:c>
    </x:row>
    <x:row r="18">
      <x:c r="A18" s="39" t="n">
        <x:f>RANK.EQ(C18,$C$4:$C$273,0)</x:f>
        <x:v>15</x:v>
      </x:c>
      <x:c r="B18" s="40" t="str">
        <x:v>A2ar</x:v>
      </x:c>
      <x:c r="C18" s="41" t="n">
        <x:f>SUMIF('Categorias'!$E$4:$E$1347,B18,'Categorias'!$G$4:$G$1347)</x:f>
        <x:v>3000.1383492705054</x:v>
      </x:c>
      <x:c r="D18" s="42" t="str">
        <x:v>Keeper Uprising</x:v>
      </x:c>
    </x:row>
    <x:row r="19">
      <x:c r="A19" s="39" t="n">
        <x:f>RANK.EQ(C19,$C$4:$C$273,0)</x:f>
        <x:v>16</x:v>
      </x:c>
      <x:c r="B19" s="40" t="str">
        <x:v>MaxHardcore</x:v>
      </x:c>
      <x:c r="C19" s="41" t="n">
        <x:f>SUMIF('Categorias'!$E$4:$E$1347,B19,'Categorias'!$G$4:$G$1347)</x:f>
        <x:v>2936.5965023234885</x:v>
      </x:c>
      <x:c r="D19" s="42" t="str">
        <x:v>Keeper Uprising</x:v>
      </x:c>
    </x:row>
    <x:row r="20">
      <x:c r="A20" s="39" t="n">
        <x:f>RANK.EQ(C20,$C$4:$C$273,0)</x:f>
        <x:v>17</x:v>
      </x:c>
      <x:c r="B20" s="40" t="str">
        <x:v>Horsix</x:v>
      </x:c>
      <x:c r="C20" s="41" t="n">
        <x:f>SUMIF('Categorias'!$E$4:$E$1347,B20,'Categorias'!$G$4:$G$1347)</x:f>
        <x:v>2698.704598466705</x:v>
      </x:c>
      <x:c r="D20" s="42" t="str">
        <x:v>PvE Black</x:v>
      </x:c>
    </x:row>
    <x:row r="21">
      <x:c r="A21" s="39" t="n">
        <x:f>RANK.EQ(C21,$C$4:$C$273,0)</x:f>
        <x:v>18</x:v>
      </x:c>
      <x:c r="B21" s="40" t="str">
        <x:v>imdonedontkillme</x:v>
      </x:c>
      <x:c r="C21" s="41" t="n">
        <x:f>SUMIF('Categorias'!$E$4:$E$1347,B21,'Categorias'!$G$4:$G$1347)</x:f>
        <x:v>2638.97391838214</x:v>
      </x:c>
      <x:c r="D21" s="42" t="str">
        <x:v>Keeper Uprising</x:v>
      </x:c>
    </x:row>
    <x:row r="22">
      <x:c r="A22" s="39" t="n">
        <x:f>RANK.EQ(C22,$C$4:$C$273,0)</x:f>
        <x:v>19</x:v>
      </x:c>
      <x:c r="B22" s="40" t="str">
        <x:v>Patolas</x:v>
      </x:c>
      <x:c r="C22" s="41" t="n">
        <x:f>SUMIF('Categorias'!$E$4:$E$1347,B22,'Categorias'!$G$4:$G$1347)</x:f>
        <x:v>2576.0977066619844</x:v>
      </x:c>
      <x:c r="D22" s="42" t="str">
        <x:v>Keeper Uprising</x:v>
      </x:c>
    </x:row>
    <x:row r="23">
      <x:c r="A23" s="39" t="n">
        <x:f>RANK.EQ(C23,$C$4:$C$273,0)</x:f>
        <x:v>20</x:v>
      </x:c>
      <x:c r="B23" s="40" t="str">
        <x:v>MatMac</x:v>
      </x:c>
      <x:c r="C23" s="41" t="n">
        <x:f>SUMIF('Categorias'!$E$4:$E$1347,B23,'Categorias'!$G$4:$G$1347)</x:f>
        <x:v>2442.029975695739</x:v>
      </x:c>
      <x:c r="D23" s="42" t="str">
        <x:v>Keeper Uprising</x:v>
      </x:c>
    </x:row>
    <x:row r="24">
      <x:c r="A24" s="39" t="n">
        <x:f>RANK.EQ(C24,$C$4:$C$273,0)</x:f>
        <x:v>21</x:v>
      </x:c>
      <x:c r="B24" s="40" t="str">
        <x:v>Soldier027</x:v>
      </x:c>
      <x:c r="C24" s="41" t="n">
        <x:f>SUMIF('Categorias'!$E$4:$E$1347,B24,'Categorias'!$G$4:$G$1347)</x:f>
        <x:v>2434.5354202543435</x:v>
      </x:c>
      <x:c r="D24" s="42" t="str">
        <x:v>Keeper Uprising</x:v>
      </x:c>
    </x:row>
    <x:row r="25">
      <x:c r="A25" s="39" t="n">
        <x:f>RANK.EQ(C25,$C$4:$C$273,0)</x:f>
        <x:v>22</x:v>
      </x:c>
      <x:c r="B25" s="40" t="str">
        <x:v>Cominhos</x:v>
      </x:c>
      <x:c r="C25" s="41" t="n">
        <x:f>SUMIF('Categorias'!$E$4:$E$1347,B25,'Categorias'!$G$4:$G$1347)</x:f>
        <x:v>2356.2290376793217</x:v>
      </x:c>
      <x:c r="D25" s="42" t="str">
        <x:v>Keeper Uprising</x:v>
      </x:c>
    </x:row>
    <x:row r="26">
      <x:c r="A26" s="39" t="n">
        <x:f>RANK.EQ(C26,$C$4:$C$273,0)</x:f>
        <x:v>23</x:v>
      </x:c>
      <x:c r="B26" s="40" t="str">
        <x:v>theYousek</x:v>
      </x:c>
      <x:c r="C26" s="41" t="n">
        <x:f>SUMIF('Categorias'!$E$4:$E$1347,B26,'Categorias'!$G$4:$G$1347)</x:f>
        <x:v>2256.6857896031106</x:v>
      </x:c>
      <x:c r="D26" s="42" t="str">
        <x:v>Profundezas</x:v>
      </x:c>
    </x:row>
    <x:row r="27">
      <x:c r="A27" s="39" t="n">
        <x:f>RANK.EQ(C27,$C$4:$C$273,0)</x:f>
        <x:v>24</x:v>
      </x:c>
      <x:c r="B27" s="40" t="str">
        <x:v>KuNaKiNa</x:v>
      </x:c>
      <x:c r="C27" s="41" t="n">
        <x:f>SUMIF('Categorias'!$E$4:$E$1347,B27,'Categorias'!$G$4:$G$1347)</x:f>
        <x:v>2019.9165631999524</x:v>
      </x:c>
      <x:c r="D27" s="42" t="str">
        <x:v>Keeper Uprising</x:v>
      </x:c>
    </x:row>
    <x:row r="28">
      <x:c r="A28" s="39" t="n">
        <x:f>RANK.EQ(C28,$C$4:$C$273,0)</x:f>
        <x:v>25</x:v>
      </x:c>
      <x:c r="B28" s="40" t="str">
        <x:v>Jairrodrigo</x:v>
      </x:c>
      <x:c r="C28" s="41" t="n">
        <x:f>SUMIF('Categorias'!$E$4:$E$1347,B28,'Categorias'!$G$4:$G$1347)</x:f>
        <x:v>1992.1530304842504</x:v>
      </x:c>
      <x:c r="D28" s="42" t="str">
        <x:v>Keeper Uprising</x:v>
      </x:c>
    </x:row>
    <x:row r="29">
      <x:c r="A29" s="39" t="n">
        <x:f>RANK.EQ(C29,$C$4:$C$273,0)</x:f>
        <x:v>26</x:v>
      </x:c>
      <x:c r="B29" s="40" t="str">
        <x:v>Nagacaburos</x:v>
      </x:c>
      <x:c r="C29" s="41" t="n">
        <x:f>SUMIF('Categorias'!$E$4:$E$1347,B29,'Categorias'!$G$4:$G$1347)</x:f>
        <x:v>1924.7532256346765</x:v>
      </x:c>
      <x:c r="D29" s="42" t="str">
        <x:v>Keeper Uprising</x:v>
      </x:c>
    </x:row>
    <x:row r="30">
      <x:c r="A30" s="39" t="n">
        <x:f>RANK.EQ(C30,$C$4:$C$273,0)</x:f>
        <x:v>27</x:v>
      </x:c>
      <x:c r="B30" s="40" t="str">
        <x:v>Yuangii</x:v>
      </x:c>
      <x:c r="C30" s="41" t="n">
        <x:f>SUMIF('Categorias'!$E$4:$E$1347,B30,'Categorias'!$G$4:$G$1347)</x:f>
        <x:v>1908.0922277766033</x:v>
      </x:c>
      <x:c r="D30" s="42" t="str">
        <x:v>Keeper Uprising</x:v>
      </x:c>
    </x:row>
    <x:row r="31">
      <x:c r="A31" s="39" t="n">
        <x:f>RANK.EQ(C31,$C$4:$C$273,0)</x:f>
        <x:v>28</x:v>
      </x:c>
      <x:c r="B31" s="40" t="str">
        <x:v>SerpentVeil</x:v>
      </x:c>
      <x:c r="C31" s="41" t="n">
        <x:f>SUMIF('Categorias'!$E$4:$E$1347,B31,'Categorias'!$G$4:$G$1347)</x:f>
        <x:v>1883.7131022239632</x:v>
      </x:c>
      <x:c r="D31" s="42" t="str">
        <x:v>Keeper Uprising</x:v>
      </x:c>
    </x:row>
    <x:row r="32">
      <x:c r="A32" s="39" t="n">
        <x:f>RANK.EQ(C32,$C$4:$C$273,0)</x:f>
        <x:v>29</x:v>
      </x:c>
      <x:c r="B32" s="40" t="str">
        <x:v>Temperamental</x:v>
      </x:c>
      <x:c r="C32" s="41" t="n">
        <x:f>SUMIF('Categorias'!$E$4:$E$1347,B32,'Categorias'!$G$4:$G$1347)</x:f>
        <x:v>1511.6284137348698</x:v>
      </x:c>
      <x:c r="D32" s="42" t="str">
        <x:v>Keeper Uprising</x:v>
      </x:c>
    </x:row>
    <x:row r="33">
      <x:c r="A33" s="39" t="n">
        <x:f>RANK.EQ(C33,$C$4:$C$273,0)</x:f>
        <x:v>30</x:v>
      </x:c>
      <x:c r="B33" s="40" t="str">
        <x:v>vadisley</x:v>
      </x:c>
      <x:c r="C33" s="41" t="n">
        <x:f>SUMIF('Categorias'!$E$4:$E$1347,B33,'Categorias'!$G$4:$G$1347)</x:f>
        <x:v>1504.2583835830499</x:v>
      </x:c>
      <x:c r="D33" s="42" t="str">
        <x:v>Keeper Uprising</x:v>
      </x:c>
    </x:row>
    <x:row r="34">
      <x:c r="A34" s="39" t="n">
        <x:f>RANK.EQ(C34,$C$4:$C$273,0)</x:f>
        <x:v>31</x:v>
      </x:c>
      <x:c r="B34" s="40" t="str">
        <x:v>Davimix</x:v>
      </x:c>
      <x:c r="C34" s="41" t="n">
        <x:f>SUMIF('Categorias'!$E$4:$E$1347,B34,'Categorias'!$G$4:$G$1347)</x:f>
        <x:v>1490.4357648423902</x:v>
      </x:c>
      <x:c r="D34" s="42" t="str">
        <x:v>Keeper Uprising</x:v>
      </x:c>
    </x:row>
    <x:row r="35">
      <x:c r="A35" s="39" t="n">
        <x:f>RANK.EQ(C35,$C$4:$C$273,0)</x:f>
        <x:v>32</x:v>
      </x:c>
      <x:c r="B35" s="40" t="str">
        <x:v>goncalves23</x:v>
      </x:c>
      <x:c r="C35" s="41" t="n">
        <x:f>SUMIF('Categorias'!$E$4:$E$1347,B35,'Categorias'!$G$4:$G$1347)</x:f>
        <x:v>1485.1259862467525</x:v>
      </x:c>
      <x:c r="D35" s="42" t="str">
        <x:v>Keeper Uprising</x:v>
      </x:c>
    </x:row>
    <x:row r="36">
      <x:c r="A36" s="39" t="n">
        <x:f>RANK.EQ(C36,$C$4:$C$273,0)</x:f>
        <x:v>33</x:v>
      </x:c>
      <x:c r="B36" s="40" t="str">
        <x:v>Nandixx</x:v>
      </x:c>
      <x:c r="C36" s="41" t="n">
        <x:f>SUMIF('Categorias'!$E$4:$E$1347,B36,'Categorias'!$G$4:$G$1347)</x:f>
        <x:v>1417.0485722167161</x:v>
      </x:c>
      <x:c r="D36" s="42" t="str">
        <x:v>Keeper Uprising</x:v>
      </x:c>
    </x:row>
    <x:row r="37">
      <x:c r="A37" s="39" t="n">
        <x:f>RANK.EQ(C37,$C$4:$C$273,0)</x:f>
        <x:v>34</x:v>
      </x:c>
      <x:c r="B37" s="40" t="str">
        <x:v>Natsury</x:v>
      </x:c>
      <x:c r="C37" s="41" t="n">
        <x:f>SUMIF('Categorias'!$E$4:$E$1347,B37,'Categorias'!$G$4:$G$1347)</x:f>
        <x:v>1391.1591912406732</x:v>
      </x:c>
      <x:c r="D37" s="42" t="str">
        <x:v>Keeper Uprising</x:v>
      </x:c>
    </x:row>
    <x:row r="38">
      <x:c r="A38" s="39" t="n">
        <x:f>RANK.EQ(C38,$C$4:$C$273,0)</x:f>
        <x:v>35</x:v>
      </x:c>
      <x:c r="B38" s="40" t="str">
        <x:v>LEOPOLD</x:v>
      </x:c>
      <x:c r="C38" s="41" t="n">
        <x:f>SUMIF('Categorias'!$E$4:$E$1347,B38,'Categorias'!$G$4:$G$1347)</x:f>
        <x:v>1345.8610174233638</x:v>
      </x:c>
      <x:c r="D38" s="42" t="str">
        <x:v>Keeper Uprising</x:v>
      </x:c>
    </x:row>
    <x:row r="39">
      <x:c r="A39" s="39" t="n">
        <x:f>RANK.EQ(C39,$C$4:$C$273,0)</x:f>
        <x:v>36</x:v>
      </x:c>
      <x:c r="B39" s="40" t="str">
        <x:v>Jmbv</x:v>
      </x:c>
      <x:c r="C39" s="41" t="n">
        <x:f>SUMIF('Categorias'!$E$4:$E$1347,B39,'Categorias'!$G$4:$G$1347)</x:f>
        <x:v>1316.4852372654043</x:v>
      </x:c>
      <x:c r="D39" s="42" t="str">
        <x:v>Keeper Uprising</x:v>
      </x:c>
    </x:row>
    <x:row r="40">
      <x:c r="A40" s="39" t="n">
        <x:f>RANK.EQ(C40,$C$4:$C$273,0)</x:f>
        <x:v>37</x:v>
      </x:c>
      <x:c r="B40" s="40" t="str">
        <x:v>MARIOMALAN</x:v>
      </x:c>
      <x:c r="C40" s="41" t="n">
        <x:f>SUMIF('Categorias'!$E$4:$E$1347,B40,'Categorias'!$G$4:$G$1347)</x:f>
        <x:v>1309.9202365584888</x:v>
      </x:c>
      <x:c r="D40" s="42" t="str">
        <x:v>Keeper Uprising</x:v>
      </x:c>
    </x:row>
    <x:row r="41">
      <x:c r="A41" s="39" t="n">
        <x:f>RANK.EQ(C41,$C$4:$C$273,0)</x:f>
        <x:v>38</x:v>
      </x:c>
      <x:c r="B41" s="40" t="str">
        <x:v>Djwd</x:v>
      </x:c>
      <x:c r="C41" s="41" t="n">
        <x:f>SUMIF('Categorias'!$E$4:$E$1347,B41,'Categorias'!$G$4:$G$1347)</x:f>
        <x:v>1293.1837494376425</x:v>
      </x:c>
      <x:c r="D41" s="42" t="str">
        <x:v>Profundezas</x:v>
      </x:c>
    </x:row>
    <x:row r="42">
      <x:c r="A42" s="39" t="n">
        <x:f>RANK.EQ(C42,$C$4:$C$273,0)</x:f>
        <x:v>39</x:v>
      </x:c>
      <x:c r="B42" s="40" t="str">
        <x:v>Dorfiuses</x:v>
      </x:c>
      <x:c r="C42" s="41" t="n">
        <x:f>SUMIF('Categorias'!$E$4:$E$1347,B42,'Categorias'!$G$4:$G$1347)</x:f>
        <x:v>1277.072490213844</x:v>
      </x:c>
      <x:c r="D42" s="42" t="str">
        <x:v>Keeper Uprising</x:v>
      </x:c>
    </x:row>
    <x:row r="43">
      <x:c r="A43" s="39" t="n">
        <x:f>RANK.EQ(C43,$C$4:$C$273,0)</x:f>
        <x:v>40</x:v>
      </x:c>
      <x:c r="B43" s="40" t="str">
        <x:v>jokker1998</x:v>
      </x:c>
      <x:c r="C43" s="41" t="n">
        <x:f>SUMIF('Categorias'!$E$4:$E$1347,B43,'Categorias'!$G$4:$G$1347)</x:f>
        <x:v>1244.778491786632</x:v>
      </x:c>
      <x:c r="D43" s="42" t="str">
        <x:v>Keeper Uprising</x:v>
      </x:c>
    </x:row>
    <x:row r="44">
      <x:c r="A44" s="39" t="n">
        <x:f>RANK.EQ(C44,$C$4:$C$273,0)</x:f>
        <x:v>41</x:v>
      </x:c>
      <x:c r="B44" s="40" t="str">
        <x:v>MYLOLA262</x:v>
      </x:c>
      <x:c r="C44" s="41" t="n">
        <x:f>SUMIF('Categorias'!$E$4:$E$1347,B44,'Categorias'!$G$4:$G$1347)</x:f>
        <x:v>1244.123141336559</x:v>
      </x:c>
      <x:c r="D44" s="42" t="str">
        <x:v>Keeper Uprising</x:v>
      </x:c>
    </x:row>
    <x:row r="45">
      <x:c r="A45" s="39" t="n">
        <x:f>RANK.EQ(C45,$C$4:$C$273,0)</x:f>
        <x:v>42</x:v>
      </x:c>
      <x:c r="B45" s="40" t="str">
        <x:v>maicon1357</x:v>
      </x:c>
      <x:c r="C45" s="41" t="n">
        <x:f>SUMIF('Categorias'!$E$4:$E$1347,B45,'Categorias'!$G$4:$G$1347)</x:f>
        <x:v>1183.3343420742287</x:v>
      </x:c>
      <x:c r="D45" s="42" t="str">
        <x:v>Keeper Uprising</x:v>
      </x:c>
    </x:row>
    <x:row r="46">
      <x:c r="A46" s="39" t="n">
        <x:f>RANK.EQ(C46,$C$4:$C$273,0)</x:f>
        <x:v>43</x:v>
      </x:c>
      <x:c r="B46" s="40" t="str">
        <x:v>MineMim</x:v>
      </x:c>
      <x:c r="C46" s="41" t="n">
        <x:f>SUMIF('Categorias'!$E$4:$E$1347,B46,'Categorias'!$G$4:$G$1347)</x:f>
        <x:v>1180.8823208376648</x:v>
      </x:c>
      <x:c r="D46" s="42" t="str">
        <x:v>Keeper Uprising</x:v>
      </x:c>
    </x:row>
    <x:row r="47">
      <x:c r="A47" s="39" t="n">
        <x:f>RANK.EQ(C47,$C$4:$C$273,0)</x:f>
        <x:v>44</x:v>
      </x:c>
      <x:c r="B47" s="40" t="str">
        <x:v>LipeFuab</x:v>
      </x:c>
      <x:c r="C47" s="41" t="n">
        <x:f>SUMIF('Categorias'!$E$4:$E$1347,B47,'Categorias'!$G$4:$G$1347)</x:f>
        <x:v>1111.4525387283695</x:v>
      </x:c>
      <x:c r="D47" s="42" t="str">
        <x:v>Keeper Uprising</x:v>
      </x:c>
    </x:row>
    <x:row r="48">
      <x:c r="A48" s="39" t="n">
        <x:f>RANK.EQ(C48,$C$4:$C$273,0)</x:f>
        <x:v>45</x:v>
      </x:c>
      <x:c r="B48" s="40" t="str">
        <x:v>Lamusk</x:v>
      </x:c>
      <x:c r="C48" s="41" t="n">
        <x:f>SUMIF('Categorias'!$E$4:$E$1347,B48,'Categorias'!$G$4:$G$1347)</x:f>
        <x:v>1090.8191773436054</x:v>
      </x:c>
      <x:c r="D48" s="42" t="str">
        <x:v>Keeper Uprising</x:v>
      </x:c>
    </x:row>
    <x:row r="49">
      <x:c r="A49" s="39" t="n">
        <x:f>RANK.EQ(C49,$C$4:$C$273,0)</x:f>
        <x:v>46</x:v>
      </x:c>
      <x:c r="B49" s="40" t="str">
        <x:v>Lumen821</x:v>
      </x:c>
      <x:c r="C49" s="41" t="n">
        <x:f>SUMIF('Categorias'!$E$4:$E$1347,B49,'Categorias'!$G$4:$G$1347)</x:f>
        <x:v>1081.2952125468819</x:v>
      </x:c>
      <x:c r="D49" s="42" t="str">
        <x:v>Profundezas</x:v>
      </x:c>
    </x:row>
    <x:row r="50">
      <x:c r="A50" s="39" t="n">
        <x:f>RANK.EQ(C50,$C$4:$C$273,0)</x:f>
        <x:v>47</x:v>
      </x:c>
      <x:c r="B50" s="40" t="str">
        <x:v>BrEnnD</x:v>
      </x:c>
      <x:c r="C50" s="41" t="n">
        <x:f>SUMIF('Categorias'!$E$4:$E$1347,B50,'Categorias'!$G$4:$G$1347)</x:f>
        <x:v>1069.3010100292688</x:v>
      </x:c>
      <x:c r="D50" s="42" t="str">
        <x:v>Keeper Uprising</x:v>
      </x:c>
    </x:row>
    <x:row r="51">
      <x:c r="A51" s="39" t="n">
        <x:f>RANK.EQ(C51,$C$4:$C$273,0)</x:f>
        <x:v>48</x:v>
      </x:c>
      <x:c r="B51" s="40" t="str">
        <x:v>Groom84</x:v>
      </x:c>
      <x:c r="C51" s="41" t="n">
        <x:f>SUMIF('Categorias'!$E$4:$E$1347,B51,'Categorias'!$G$4:$G$1347)</x:f>
        <x:v>1062.0688843387975</x:v>
      </x:c>
      <x:c r="D51" s="42" t="str">
        <x:v>Keeper Uprising</x:v>
      </x:c>
    </x:row>
    <x:row r="52">
      <x:c r="A52" s="39" t="n">
        <x:f>RANK.EQ(C52,$C$4:$C$273,0)</x:f>
        <x:v>49</x:v>
      </x:c>
      <x:c r="B52" s="40" t="str">
        <x:v>Reguilla</x:v>
      </x:c>
      <x:c r="C52" s="41" t="n">
        <x:f>SUMIF('Categorias'!$E$4:$E$1347,B52,'Categorias'!$G$4:$G$1347)</x:f>
        <x:v>1000.857964884679</x:v>
      </x:c>
      <x:c r="D52" s="42" t="str">
        <x:v>Keeper Uprising</x:v>
      </x:c>
    </x:row>
    <x:row r="53">
      <x:c r="A53" s="39" t="n">
        <x:f>RANK.EQ(C53,$C$4:$C$273,0)</x:f>
        <x:v>50</x:v>
      </x:c>
      <x:c r="B53" s="40" t="str">
        <x:v>hardfedles</x:v>
      </x:c>
      <x:c r="C53" s="41" t="n">
        <x:f>SUMIF('Categorias'!$E$4:$E$1347,B53,'Categorias'!$G$4:$G$1347)</x:f>
        <x:v>987.6557742957426</x:v>
      </x:c>
      <x:c r="D53" s="42" t="str">
        <x:v>Contrabandistas</x:v>
      </x:c>
    </x:row>
    <x:row r="54">
      <x:c r="A54" s="39" t="n">
        <x:f>RANK.EQ(C54,$C$4:$C$273,0)</x:f>
        <x:v>51</x:v>
      </x:c>
      <x:c r="B54" s="40" t="str">
        <x:v>Amakv</x:v>
      </x:c>
      <x:c r="C54" s="41" t="n">
        <x:f>SUMIF('Categorias'!$E$4:$E$1347,B54,'Categorias'!$G$4:$G$1347)</x:f>
        <x:v>976.1962808824346</x:v>
      </x:c>
      <x:c r="D54" s="42" t="str">
        <x:v>Keeper Uprising</x:v>
      </x:c>
    </x:row>
    <x:row r="55">
      <x:c r="A55" s="39" t="n">
        <x:f>RANK.EQ(C55,$C$4:$C$273,0)</x:f>
        <x:v>52</x:v>
      </x:c>
      <x:c r="B55" s="40" t="str">
        <x:v>Guislave</x:v>
      </x:c>
      <x:c r="C55" s="41" t="n">
        <x:f>SUMIF('Categorias'!$E$4:$E$1347,B55,'Categorias'!$G$4:$G$1347)</x:f>
        <x:v>903.0364393515637</x:v>
      </x:c>
      <x:c r="D55" s="42" t="str">
        <x:v>Keeper Uprising</x:v>
      </x:c>
    </x:row>
    <x:row r="56">
      <x:c r="A56" s="39" t="n">
        <x:f>RANK.EQ(C56,$C$4:$C$273,0)</x:f>
        <x:v>53</x:v>
      </x:c>
      <x:c r="B56" s="40" t="str">
        <x:v>Jabiroca1</x:v>
      </x:c>
      <x:c r="C56" s="41" t="n">
        <x:f>SUMIF('Categorias'!$E$4:$E$1347,B56,'Categorias'!$G$4:$G$1347)</x:f>
        <x:v>789.921760245606</x:v>
      </x:c>
      <x:c r="D56" s="42" t="str">
        <x:v>Keeper Uprising</x:v>
      </x:c>
    </x:row>
    <x:row r="57">
      <x:c r="A57" s="39" t="n">
        <x:f>RANK.EQ(C57,$C$4:$C$273,0)</x:f>
        <x:v>54</x:v>
      </x:c>
      <x:c r="B57" s="40" t="str">
        <x:v>Julioczr</x:v>
      </x:c>
      <x:c r="C57" s="41" t="n">
        <x:f>SUMIF('Categorias'!$E$4:$E$1347,B57,'Categorias'!$G$4:$G$1347)</x:f>
        <x:v>765.6091671267699</x:v>
      </x:c>
      <x:c r="D57" s="42" t="str">
        <x:v>Keeper Uprising</x:v>
      </x:c>
    </x:row>
    <x:row r="58">
      <x:c r="A58" s="39" t="n">
        <x:f>RANK.EQ(C58,$C$4:$C$273,0)</x:f>
        <x:v>55</x:v>
      </x:c>
      <x:c r="B58" s="40" t="str">
        <x:v>JrMadRyukk</x:v>
      </x:c>
      <x:c r="C58" s="41" t="n">
        <x:f>SUMIF('Categorias'!$E$4:$E$1347,B58,'Categorias'!$G$4:$G$1347)</x:f>
        <x:v>761.8442011589926</x:v>
      </x:c>
      <x:c r="D58" s="42" t="str">
        <x:v>Guild Challenge</x:v>
      </x:c>
    </x:row>
    <x:row r="59">
      <x:c r="A59" s="39" t="n">
        <x:f>RANK.EQ(C59,$C$4:$C$273,0)</x:f>
        <x:v>56</x:v>
      </x:c>
      <x:c r="B59" s="40" t="str">
        <x:v>Sum0l</x:v>
      </x:c>
      <x:c r="C59" s="41" t="n">
        <x:f>SUMIF('Categorias'!$E$4:$E$1347,B59,'Categorias'!$G$4:$G$1347)</x:f>
        <x:v>748.0563607457309</x:v>
      </x:c>
      <x:c r="D59" s="42" t="str">
        <x:v>Keeper Uprising</x:v>
      </x:c>
    </x:row>
    <x:row r="60">
      <x:c r="A60" s="39" t="n">
        <x:f>RANK.EQ(C60,$C$4:$C$273,0)</x:f>
        <x:v>57</x:v>
      </x:c>
      <x:c r="B60" s="40" t="str">
        <x:v>avven1996</x:v>
      </x:c>
      <x:c r="C60" s="41" t="n">
        <x:f>SUMIF('Categorias'!$E$4:$E$1347,B60,'Categorias'!$G$4:$G$1347)</x:f>
        <x:v>746.8178333530385</x:v>
      </x:c>
      <x:c r="D60" s="42" t="str">
        <x:v>Coleta Black</x:v>
      </x:c>
    </x:row>
    <x:row r="61">
      <x:c r="A61" s="39" t="n">
        <x:f>RANK.EQ(C61,$C$4:$C$273,0)</x:f>
        <x:v>58</x:v>
      </x:c>
      <x:c r="B61" s="40" t="str">
        <x:v>xXFate</x:v>
      </x:c>
      <x:c r="C61" s="41" t="n">
        <x:f>SUMIF('Categorias'!$E$4:$E$1347,B61,'Categorias'!$G$4:$G$1347)</x:f>
        <x:v>741.2796837449915</x:v>
      </x:c>
      <x:c r="D61" s="42" t="str">
        <x:v>Guild Challenge</x:v>
      </x:c>
    </x:row>
    <x:row r="62">
      <x:c r="A62" s="39" t="n">
        <x:f>RANK.EQ(C62,$C$4:$C$273,0)</x:f>
        <x:v>59</x:v>
      </x:c>
      <x:c r="B62" s="40" t="str">
        <x:v>Karz1N</x:v>
      </x:c>
      <x:c r="C62" s="41" t="n">
        <x:f>SUMIF('Categorias'!$E$4:$E$1347,B62,'Categorias'!$G$4:$G$1347)</x:f>
        <x:v>697.4385177283348</x:v>
      </x:c>
      <x:c r="D62" s="42" t="str">
        <x:v>Keeper Uprising</x:v>
      </x:c>
    </x:row>
    <x:row r="63">
      <x:c r="A63" s="39" t="n">
        <x:f>RANK.EQ(C63,$C$4:$C$273,0)</x:f>
        <x:v>60</x:v>
      </x:c>
      <x:c r="B63" s="40" t="str">
        <x:v>WellITKD</x:v>
      </x:c>
      <x:c r="C63" s="41" t="n">
        <x:f>SUMIF('Categorias'!$E$4:$E$1347,B63,'Categorias'!$G$4:$G$1347)</x:f>
        <x:v>696.7327826205476</x:v>
      </x:c>
      <x:c r="D63" s="42" t="str">
        <x:v>Keeper Uprising</x:v>
      </x:c>
    </x:row>
    <x:row r="64">
      <x:c r="A64" s="39" t="n">
        <x:f>RANK.EQ(C64,$C$4:$C$273,0)</x:f>
        <x:v>61</x:v>
      </x:c>
      <x:c r="B64" s="40" t="str">
        <x:v>Grockyy</x:v>
      </x:c>
      <x:c r="C64" s="41" t="n">
        <x:f>SUMIF('Categorias'!$E$4:$E$1347,B64,'Categorias'!$G$4:$G$1347)</x:f>
        <x:v>692.3479828989643</x:v>
      </x:c>
      <x:c r="D64" s="42" t="str">
        <x:v>Keeper Uprising</x:v>
      </x:c>
    </x:row>
    <x:row r="65">
      <x:c r="A65" s="39" t="n">
        <x:f>RANK.EQ(C65,$C$4:$C$273,0)</x:f>
        <x:v>62</x:v>
      </x:c>
      <x:c r="B65" s="40" t="str">
        <x:v>Merlinavo</x:v>
      </x:c>
      <x:c r="C65" s="41" t="n">
        <x:f>SUMIF('Categorias'!$E$4:$E$1347,B65,'Categorias'!$G$4:$G$1347)</x:f>
        <x:v>677.44849118936</x:v>
      </x:c>
      <x:c r="D65" s="42" t="str">
        <x:v>Keeper Uprising</x:v>
      </x:c>
    </x:row>
    <x:row r="66">
      <x:c r="A66" s="39" t="n">
        <x:f>RANK.EQ(C66,$C$4:$C$273,0)</x:f>
        <x:v>63</x:v>
      </x:c>
      <x:c r="B66" s="40" t="str">
        <x:v>jordansPt</x:v>
      </x:c>
      <x:c r="C66" s="41" t="n">
        <x:f>SUMIF('Categorias'!$E$4:$E$1347,B66,'Categorias'!$G$4:$G$1347)</x:f>
        <x:v>550.9659469672922</x:v>
      </x:c>
      <x:c r="D66" s="42" t="str">
        <x:v>Tesouros Black</x:v>
      </x:c>
    </x:row>
    <x:row r="67">
      <x:c r="A67" s="39" t="n">
        <x:f>RANK.EQ(C67,$C$4:$C$273,0)</x:f>
        <x:v>64</x:v>
      </x:c>
      <x:c r="B67" s="40" t="str">
        <x:v>Superpk</x:v>
      </x:c>
      <x:c r="C67" s="41" t="n">
        <x:f>SUMIF('Categorias'!$E$4:$E$1347,B67,'Categorias'!$G$4:$G$1347)</x:f>
        <x:v>537.5020443803763</x:v>
      </x:c>
      <x:c r="D67" s="42" t="str">
        <x:v>Coleta Black</x:v>
      </x:c>
    </x:row>
    <x:row r="68">
      <x:c r="A68" s="39" t="n">
        <x:f>RANK.EQ(C68,$C$4:$C$273,0)</x:f>
        <x:v>65</x:v>
      </x:c>
      <x:c r="B68" s="40" t="str">
        <x:v>KABRITONHO</x:v>
      </x:c>
      <x:c r="C68" s="41" t="n">
        <x:f>SUMIF('Categorias'!$E$4:$E$1347,B68,'Categorias'!$G$4:$G$1347)</x:f>
        <x:v>518.6917294039524</x:v>
      </x:c>
      <x:c r="D68" s="42" t="str">
        <x:v>Keeper Uprising</x:v>
      </x:c>
    </x:row>
    <x:row r="69">
      <x:c r="A69" s="39" t="n">
        <x:f>RANK.EQ(C69,$C$4:$C$273,0)</x:f>
        <x:v>66</x:v>
      </x:c>
      <x:c r="B69" s="40" t="str">
        <x:v>ISpellNotFound</x:v>
      </x:c>
      <x:c r="C69" s="41" t="n">
        <x:f>SUMIF('Categorias'!$E$4:$E$1347,B69,'Categorias'!$G$4:$G$1347)</x:f>
        <x:v>508.28423423655255</x:v>
      </x:c>
      <x:c r="D69" s="42" t="str">
        <x:v>Guild Challenge</x:v>
      </x:c>
    </x:row>
    <x:row r="70">
      <x:c r="A70" s="39" t="n">
        <x:f>RANK.EQ(C70,$C$4:$C$273,0)</x:f>
        <x:v>67</x:v>
      </x:c>
      <x:c r="B70" s="40" t="str">
        <x:v>SuSex</x:v>
      </x:c>
      <x:c r="C70" s="41" t="n">
        <x:f>SUMIF('Categorias'!$E$4:$E$1347,B70,'Categorias'!$G$4:$G$1347)</x:f>
        <x:v>436.2924152294851</x:v>
      </x:c>
      <x:c r="D70" s="42" t="str">
        <x:v>Profundezas</x:v>
      </x:c>
    </x:row>
    <x:row r="71">
      <x:c r="A71" s="39" t="n">
        <x:f>RANK.EQ(C71,$C$4:$C$273,0)</x:f>
        <x:v>68</x:v>
      </x:c>
      <x:c r="B71" s="40" t="str">
        <x:v>VnfaTI</x:v>
      </x:c>
      <x:c r="C71" s="41" t="n">
        <x:f>SUMIF('Categorias'!$E$4:$E$1347,B71,'Categorias'!$G$4:$G$1347)</x:f>
        <x:v>427.2751878934494</x:v>
      </x:c>
      <x:c r="D71" s="42" t="str">
        <x:v>Tesouros Black</x:v>
      </x:c>
    </x:row>
    <x:row r="72">
      <x:c r="A72" s="39" t="n">
        <x:f>RANK.EQ(C72,$C$4:$C$273,0)</x:f>
        <x:v>69</x:v>
      </x:c>
      <x:c r="B72" s="40" t="str">
        <x:v>HolyGyat2324</x:v>
      </x:c>
      <x:c r="C72" s="41" t="n">
        <x:f>SUMIF('Categorias'!$E$4:$E$1347,B72,'Categorias'!$G$4:$G$1347)</x:f>
        <x:v>425.3378604973473</x:v>
      </x:c>
      <x:c r="D72" s="42" t="str">
        <x:v>Keeper Uprising</x:v>
      </x:c>
    </x:row>
    <x:row r="73">
      <x:c r="A73" s="39" t="n">
        <x:f>RANK.EQ(C73,$C$4:$C$273,0)</x:f>
        <x:v>70</x:v>
      </x:c>
      <x:c r="B73" s="40" t="str">
        <x:v>LORDJAPAA</x:v>
      </x:c>
      <x:c r="C73" s="41" t="n">
        <x:f>SUMIF('Categorias'!$E$4:$E$1347,B73,'Categorias'!$G$4:$G$1347)</x:f>
        <x:v>409.2030074145716</x:v>
      </x:c>
      <x:c r="D73" s="42" t="str">
        <x:v>Coleta Black</x:v>
      </x:c>
    </x:row>
    <x:row r="74">
      <x:c r="A74" s="39" t="n">
        <x:f>RANK.EQ(C74,$C$4:$C$273,0)</x:f>
        <x:v>71</x:v>
      </x:c>
      <x:c r="B74" s="40" t="str">
        <x:v>MonetaryMike</x:v>
      </x:c>
      <x:c r="C74" s="41" t="n">
        <x:f>SUMIF('Categorias'!$E$4:$E$1347,B74,'Categorias'!$G$4:$G$1347)</x:f>
        <x:v>390.6798228588815</x:v>
      </x:c>
      <x:c r="D74" s="42" t="str">
        <x:v>Keeper Uprising</x:v>
      </x:c>
    </x:row>
    <x:row r="75">
      <x:c r="A75" s="39" t="n">
        <x:f>RANK.EQ(C75,$C$4:$C$273,0)</x:f>
        <x:v>72</x:v>
      </x:c>
      <x:c r="B75" s="40" t="str">
        <x:v>OlhaOPassarinho</x:v>
      </x:c>
      <x:c r="C75" s="41" t="n">
        <x:f>SUMIF('Categorias'!$E$4:$E$1347,B75,'Categorias'!$G$4:$G$1347)</x:f>
        <x:v>360.91064088849714</x:v>
      </x:c>
      <x:c r="D75" s="42" t="str">
        <x:v>Coleta Black</x:v>
      </x:c>
    </x:row>
    <x:row r="76">
      <x:c r="A76" s="39" t="n">
        <x:f>RANK.EQ(C76,$C$4:$C$273,0)</x:f>
        <x:v>73</x:v>
      </x:c>
      <x:c r="B76" s="40" t="str">
        <x:v>SeuDanadoo</x:v>
      </x:c>
      <x:c r="C76" s="41" t="n">
        <x:f>SUMIF('Categorias'!$E$4:$E$1347,B76,'Categorias'!$G$4:$G$1347)</x:f>
        <x:v>334.037500813483</x:v>
      </x:c>
      <x:c r="D76" s="42" t="str">
        <x:v>Keeper Uprising</x:v>
      </x:c>
    </x:row>
    <x:row r="77">
      <x:c r="A77" s="39" t="n">
        <x:f>RANK.EQ(C77,$C$4:$C$273,0)</x:f>
        <x:v>74</x:v>
      </x:c>
      <x:c r="B77" s="40" t="str">
        <x:v>WarlockLord</x:v>
      </x:c>
      <x:c r="C77" s="41" t="n">
        <x:f>SUMIF('Categorias'!$E$4:$E$1347,B77,'Categorias'!$G$4:$G$1347)</x:f>
        <x:v>317.75171960982993</x:v>
      </x:c>
      <x:c r="D77" s="42" t="str">
        <x:v>Keeper Uprising</x:v>
      </x:c>
    </x:row>
    <x:row r="78">
      <x:c r="A78" s="39" t="n">
        <x:f>RANK.EQ(C78,$C$4:$C$273,0)</x:f>
        <x:v>75</x:v>
      </x:c>
      <x:c r="B78" s="40" t="str">
        <x:v>NamikazePT</x:v>
      </x:c>
      <x:c r="C78" s="41" t="n">
        <x:f>SUMIF('Categorias'!$E$4:$E$1347,B78,'Categorias'!$G$4:$G$1347)</x:f>
        <x:v>315.56779606496536</x:v>
      </x:c>
      <x:c r="D78" s="42" t="str">
        <x:v>Hellgates</x:v>
      </x:c>
    </x:row>
    <x:row r="79">
      <x:c r="A79" s="39" t="n">
        <x:f>RANK.EQ(C79,$C$4:$C$273,0)</x:f>
        <x:v>76</x:v>
      </x:c>
      <x:c r="B79" s="40" t="str">
        <x:v>IIIIIIIIIII</x:v>
      </x:c>
      <x:c r="C79" s="41" t="n">
        <x:f>SUMIF('Categorias'!$E$4:$E$1347,B79,'Categorias'!$G$4:$G$1347)</x:f>
        <x:v>310.99382973609676</x:v>
      </x:c>
      <x:c r="D79" s="42" t="str">
        <x:v>Keeper Uprising</x:v>
      </x:c>
    </x:row>
    <x:row r="80">
      <x:c r="A80" s="39" t="n">
        <x:f>RANK.EQ(C80,$C$4:$C$273,0)</x:f>
        <x:v>77</x:v>
      </x:c>
      <x:c r="B80" s="40" t="str">
        <x:v>RullinSKILL</x:v>
      </x:c>
      <x:c r="C80" s="41" t="n">
        <x:f>SUMIF('Categorias'!$E$4:$E$1347,B80,'Categorias'!$G$4:$G$1347)</x:f>
        <x:v>288.62497992687616</x:v>
      </x:c>
      <x:c r="D80" s="42" t="str">
        <x:v>Coleta Black</x:v>
      </x:c>
    </x:row>
    <x:row r="81">
      <x:c r="A81" s="39" t="n">
        <x:f>RANK.EQ(C81,$C$4:$C$273,0)</x:f>
        <x:v>78</x:v>
      </x:c>
      <x:c r="B81" s="40" t="str">
        <x:v>JackTrip21</x:v>
      </x:c>
      <x:c r="C81" s="41" t="n">
        <x:f>SUMIF('Categorias'!$E$4:$E$1347,B81,'Categorias'!$G$4:$G$1347)</x:f>
        <x:v>287.2444394833751</x:v>
      </x:c>
      <x:c r="D81" s="42" t="str">
        <x:v>Keeper Uprising</x:v>
      </x:c>
    </x:row>
    <x:row r="82">
      <x:c r="A82" s="39" t="n">
        <x:f>RANK.EQ(C82,$C$4:$C$273,0)</x:f>
        <x:v>79</x:v>
      </x:c>
      <x:c r="B82" s="40" t="str">
        <x:v>Xakalzin</x:v>
      </x:c>
      <x:c r="C82" s="41" t="n">
        <x:f>SUMIF('Categorias'!$E$4:$E$1347,B82,'Categorias'!$G$4:$G$1347)</x:f>
        <x:v>284.61688231316026</x:v>
      </x:c>
      <x:c r="D82" s="42" t="str">
        <x:v>Coleta Black</x:v>
      </x:c>
    </x:row>
    <x:row r="83">
      <x:c r="A83" s="39" t="n">
        <x:f>RANK.EQ(C83,$C$4:$C$273,0)</x:f>
        <x:v>80</x:v>
      </x:c>
      <x:c r="B83" s="40" t="str">
        <x:v>Jarjarjeanbon</x:v>
      </x:c>
      <x:c r="C83" s="41" t="n">
        <x:f>SUMIF('Categorias'!$E$4:$E$1347,B83,'Categorias'!$G$4:$G$1347)</x:f>
        <x:v>283.1717675418571</x:v>
      </x:c>
      <x:c r="D83" s="42" t="str">
        <x:v>Keeper Uprising</x:v>
      </x:c>
    </x:row>
    <x:row r="84">
      <x:c r="A84" s="39" t="n">
        <x:f>RANK.EQ(C84,$C$4:$C$273,0)</x:f>
        <x:v>81</x:v>
      </x:c>
      <x:c r="B84" s="40" t="str">
        <x:v>VULTO</x:v>
      </x:c>
      <x:c r="C84" s="41" t="n">
        <x:f>SUMIF('Categorias'!$E$4:$E$1347,B84,'Categorias'!$G$4:$G$1347)</x:f>
        <x:v>279.09380765525793</x:v>
      </x:c>
      <x:c r="D84" s="42" t="str">
        <x:v>Guild Challenge</x:v>
      </x:c>
    </x:row>
    <x:row r="85">
      <x:c r="A85" s="39" t="n">
        <x:f>RANK.EQ(C85,$C$4:$C$273,0)</x:f>
        <x:v>82</x:v>
      </x:c>
      <x:c r="B85" s="40" t="str">
        <x:v>zNeii</x:v>
      </x:c>
      <x:c r="C85" s="41" t="n">
        <x:f>SUMIF('Categorias'!$E$4:$E$1347,B85,'Categorias'!$G$4:$G$1347)</x:f>
        <x:v>269.7956581261597</x:v>
      </x:c>
      <x:c r="D85" s="42" t="str">
        <x:v>Coleta Black</x:v>
      </x:c>
    </x:row>
    <x:row r="86">
      <x:c r="A86" s="39" t="n">
        <x:f>RANK.EQ(C86,$C$4:$C$273,0)</x:f>
        <x:v>83</x:v>
      </x:c>
      <x:c r="B86" s="40" t="str">
        <x:v>zBrunooHD</x:v>
      </x:c>
      <x:c r="C86" s="41" t="n">
        <x:f>SUMIF('Categorias'!$E$4:$E$1347,B86,'Categorias'!$G$4:$G$1347)</x:f>
        <x:v>261.1509939907991</x:v>
      </x:c>
      <x:c r="D86" s="42" t="str">
        <x:v>Coleta Black</x:v>
      </x:c>
    </x:row>
    <x:row r="87">
      <x:c r="A87" s="39" t="n">
        <x:f>RANK.EQ(C87,$C$4:$C$273,0)</x:f>
        <x:v>84</x:v>
      </x:c>
      <x:c r="B87" s="40" t="str">
        <x:v>Ruizao</x:v>
      </x:c>
      <x:c r="C87" s="41" t="n">
        <x:f>SUMIF('Categorias'!$E$4:$E$1347,B87,'Categorias'!$G$4:$G$1347)</x:f>
        <x:v>255.49065157950358</x:v>
      </x:c>
      <x:c r="D87" s="42" t="str">
        <x:v>Guild Challenge</x:v>
      </x:c>
    </x:row>
    <x:row r="88">
      <x:c r="A88" s="39" t="n">
        <x:f>RANK.EQ(C88,$C$4:$C$273,0)</x:f>
        <x:v>85</x:v>
      </x:c>
      <x:c r="B88" s="40" t="str">
        <x:v>BBob</x:v>
      </x:c>
      <x:c r="C88" s="41" t="n">
        <x:f>SUMIF('Categorias'!$E$4:$E$1347,B88,'Categorias'!$G$4:$G$1347)</x:f>
        <x:v>250.0104281224107</x:v>
      </x:c>
      <x:c r="D88" s="42" t="str">
        <x:v>Contrabandistas</x:v>
      </x:c>
    </x:row>
    <x:row r="89">
      <x:c r="A89" s="39" t="n">
        <x:f>RANK.EQ(C89,$C$4:$C$273,0)</x:f>
        <x:v>86</x:v>
      </x:c>
      <x:c r="B89" s="40" t="str">
        <x:v>Stresseed</x:v>
      </x:c>
      <x:c r="C89" s="41" t="n">
        <x:f>SUMIF('Categorias'!$E$4:$E$1347,B89,'Categorias'!$G$4:$G$1347)</x:f>
        <x:v>244.57545700529454</x:v>
      </x:c>
      <x:c r="D89" s="42" t="str">
        <x:v>PvE Black</x:v>
      </x:c>
    </x:row>
    <x:row r="90">
      <x:c r="A90" s="39" t="n">
        <x:f>RANK.EQ(C90,$C$4:$C$273,0)</x:f>
        <x:v>87</x:v>
      </x:c>
      <x:c r="B90" s="40" t="str">
        <x:v>vitinraba</x:v>
      </x:c>
      <x:c r="C90" s="41" t="n">
        <x:f>SUMIF('Categorias'!$E$4:$E$1347,B90,'Categorias'!$G$4:$G$1347)</x:f>
        <x:v>239.17223702905514</x:v>
      </x:c>
      <x:c r="D90" s="42" t="str">
        <x:v>Keeper Uprising</x:v>
      </x:c>
    </x:row>
    <x:row r="91">
      <x:c r="A91" s="39" t="n">
        <x:f>RANK.EQ(C91,$C$4:$C$273,0)</x:f>
        <x:v>88</x:v>
      </x:c>
      <x:c r="B91" s="40" t="str">
        <x:v>3YS4N</x:v>
      </x:c>
      <x:c r="C91" s="41" t="n">
        <x:f>SUMIF('Categorias'!$E$4:$E$1347,B91,'Categorias'!$G$4:$G$1347)</x:f>
        <x:v>239.06034731479286</x:v>
      </x:c>
      <x:c r="D91" s="42" t="str">
        <x:v>Contrabandistas</x:v>
      </x:c>
    </x:row>
    <x:row r="92">
      <x:c r="A92" s="39" t="n">
        <x:f>RANK.EQ(C92,$C$4:$C$273,0)</x:f>
        <x:v>89</x:v>
      </x:c>
      <x:c r="B92" s="40" t="str">
        <x:v>FullTime</x:v>
      </x:c>
      <x:c r="C92" s="41" t="n">
        <x:f>SUMIF('Categorias'!$E$4:$E$1347,B92,'Categorias'!$G$4:$G$1347)</x:f>
        <x:v>237.12991771044446</x:v>
      </x:c>
      <x:c r="D92" s="42" t="str">
        <x:v>Keeper Uprising</x:v>
      </x:c>
    </x:row>
    <x:row r="93">
      <x:c r="A93" s="39" t="n">
        <x:f>RANK.EQ(C93,$C$4:$C$273,0)</x:f>
        <x:v>90</x:v>
      </x:c>
      <x:c r="B93" s="40" t="str">
        <x:v>Hachixi</x:v>
      </x:c>
      <x:c r="C93" s="41" t="n">
        <x:f>SUMIF('Categorias'!$E$4:$E$1347,B93,'Categorias'!$G$4:$G$1347)</x:f>
        <x:v>229.49311340157755</x:v>
      </x:c>
      <x:c r="D93" s="42" t="str">
        <x:v>Keeper Uprising</x:v>
      </x:c>
    </x:row>
    <x:row r="94">
      <x:c r="A94" s="39" t="n">
        <x:f>RANK.EQ(C94,$C$4:$C$273,0)</x:f>
        <x:v>91</x:v>
      </x:c>
      <x:c r="B94" s="40" t="str">
        <x:v>MachoAlpha</x:v>
      </x:c>
      <x:c r="C94" s="41" t="n">
        <x:f>SUMIF('Categorias'!$E$4:$E$1347,B94,'Categorias'!$G$4:$G$1347)</x:f>
        <x:v>222.75721700291027</x:v>
      </x:c>
      <x:c r="D94" s="42" t="str">
        <x:v>Coleta Black</x:v>
      </x:c>
    </x:row>
    <x:row r="95">
      <x:c r="A95" s="39" t="n">
        <x:f>RANK.EQ(C95,$C$4:$C$273,0)</x:f>
        <x:v>92</x:v>
      </x:c>
      <x:c r="B95" s="40" t="str">
        <x:v>TioTrymmi</x:v>
      </x:c>
      <x:c r="C95" s="41" t="n">
        <x:f>SUMIF('Categorias'!$E$4:$E$1347,B95,'Categorias'!$G$4:$G$1347)</x:f>
        <x:v>197.23318737160966</x:v>
      </x:c>
      <x:c r="D95" s="42" t="str">
        <x:v>Keeper Uprising</x:v>
      </x:c>
    </x:row>
    <x:row r="96">
      <x:c r="A96" s="39" t="n">
        <x:f>RANK.EQ(C96,$C$4:$C$273,0)</x:f>
        <x:v>93</x:v>
      </x:c>
      <x:c r="B96" s="40" t="str">
        <x:v>RobertXVII</x:v>
      </x:c>
      <x:c r="C96" s="41" t="n">
        <x:f>SUMIF('Categorias'!$E$4:$E$1347,B96,'Categorias'!$G$4:$G$1347)</x:f>
        <x:v>194.83453414431762</x:v>
      </x:c>
      <x:c r="D96" s="42" t="str">
        <x:v>Hellgates</x:v>
      </x:c>
    </x:row>
    <x:row r="97">
      <x:c r="A97" s="39" t="n">
        <x:f>RANK.EQ(C97,$C$4:$C$273,0)</x:f>
        <x:v>94</x:v>
      </x:c>
      <x:c r="B97" s="40" t="str">
        <x:v>okiteKomi</x:v>
      </x:c>
      <x:c r="C97" s="41" t="n">
        <x:f>SUMIF('Categorias'!$E$4:$E$1347,B97,'Categorias'!$G$4:$G$1347)</x:f>
        <x:v>188.79304100239017</x:v>
      </x:c>
      <x:c r="D97" s="42" t="str">
        <x:v>Keeper Uprising</x:v>
      </x:c>
    </x:row>
    <x:row r="98">
      <x:c r="A98" s="39" t="n">
        <x:f>RANK.EQ(C98,$C$4:$C$273,0)</x:f>
        <x:v>95</x:v>
      </x:c>
      <x:c r="B98" s="40" t="str">
        <x:v>Kuntakint</x:v>
      </x:c>
      <x:c r="C98" s="41" t="n">
        <x:f>SUMIF('Categorias'!$E$4:$E$1347,B98,'Categorias'!$G$4:$G$1347)</x:f>
        <x:v>172.31955615136596</x:v>
      </x:c>
      <x:c r="D98" s="42" t="str">
        <x:v>Keeper Uprising</x:v>
      </x:c>
    </x:row>
    <x:row r="99">
      <x:c r="A99" s="39" t="n">
        <x:f>RANK.EQ(C99,$C$4:$C$273,0)</x:f>
        <x:v>96</x:v>
      </x:c>
      <x:c r="B99" s="40" t="str">
        <x:v>habibino</x:v>
      </x:c>
      <x:c r="C99" s="41" t="n">
        <x:f>SUMIF('Categorias'!$E$4:$E$1347,B99,'Categorias'!$G$4:$G$1347)</x:f>
        <x:v>168.8789660774367</x:v>
      </x:c>
      <x:c r="D99" s="42" t="str">
        <x:v>Guild Challenge</x:v>
      </x:c>
    </x:row>
    <x:row r="100">
      <x:c r="A100" s="39" t="n">
        <x:f>RANK.EQ(C100,$C$4:$C$273,0)</x:f>
        <x:v>97</x:v>
      </x:c>
      <x:c r="B100" s="40" t="str">
        <x:v>Mavin</x:v>
      </x:c>
      <x:c r="C100" s="41" t="n">
        <x:f>SUMIF('Categorias'!$E$4:$E$1347,B100,'Categorias'!$G$4:$G$1347)</x:f>
        <x:v>160.7007924201292</x:v>
      </x:c>
      <x:c r="D100" s="42" t="str">
        <x:v>Keeper Uprising</x:v>
      </x:c>
    </x:row>
    <x:row r="101">
      <x:c r="A101" s="39" t="n">
        <x:f>RANK.EQ(C101,$C$4:$C$273,0)</x:f>
        <x:v>98</x:v>
      </x:c>
      <x:c r="B101" s="40" t="str">
        <x:v>Merus</x:v>
      </x:c>
      <x:c r="C101" s="41" t="n">
        <x:f>SUMIF('Categorias'!$E$4:$E$1347,B101,'Categorias'!$G$4:$G$1347)</x:f>
        <x:v>159.68680103087604</x:v>
      </x:c>
      <x:c r="D101" s="42" t="str">
        <x:v>Coleta Black</x:v>
      </x:c>
    </x:row>
    <x:row r="102">
      <x:c r="A102" s="39" t="n">
        <x:f>RANK.EQ(C102,$C$4:$C$273,0)</x:f>
        <x:v>99</x:v>
      </x:c>
      <x:c r="B102" s="40" t="str">
        <x:v>Chuckzerah</x:v>
      </x:c>
      <x:c r="C102" s="41" t="n">
        <x:f>SUMIF('Categorias'!$E$4:$E$1347,B102,'Categorias'!$G$4:$G$1347)</x:f>
        <x:v>154.17016131230233</x:v>
      </x:c>
      <x:c r="D102" s="42" t="str">
        <x:v>Guild Challenge</x:v>
      </x:c>
    </x:row>
    <x:row r="103">
      <x:c r="A103" s="39" t="n">
        <x:f>RANK.EQ(C103,$C$4:$C$273,0)</x:f>
        <x:v>100</x:v>
      </x:c>
      <x:c r="B103" s="40" t="str">
        <x:v>IPPON</x:v>
      </x:c>
      <x:c r="C103" s="41" t="n">
        <x:f>SUMIF('Categorias'!$E$4:$E$1347,B103,'Categorias'!$G$4:$G$1347)</x:f>
        <x:v>153.31358503133433</x:v>
      </x:c>
      <x:c r="D103" s="42" t="str">
        <x:v>Hellgates</x:v>
      </x:c>
    </x:row>
    <x:row r="104">
      <x:c r="A104" s="39" t="n">
        <x:f>RANK.EQ(C104,$C$4:$C$273,0)</x:f>
        <x:v>101</x:v>
      </x:c>
      <x:c r="B104" s="40" t="str">
        <x:v>Spotk</x:v>
      </x:c>
      <x:c r="C104" s="41" t="n">
        <x:f>SUMIF('Categorias'!$E$4:$E$1347,B104,'Categorias'!$G$4:$G$1347)</x:f>
        <x:v>150.17041651259635</x:v>
      </x:c>
      <x:c r="D104" s="42" t="str">
        <x:v>Keeper Uprising</x:v>
      </x:c>
    </x:row>
    <x:row r="105">
      <x:c r="A105" s="39" t="n">
        <x:f>RANK.EQ(C105,$C$4:$C$273,0)</x:f>
        <x:v>102</x:v>
      </x:c>
      <x:c r="B105" s="40" t="str">
        <x:v>JJWAR</x:v>
      </x:c>
      <x:c r="C105" s="41" t="n">
        <x:f>SUMIF('Categorias'!$E$4:$E$1347,B105,'Categorias'!$G$4:$G$1347)</x:f>
        <x:v>147.77791365898898</x:v>
      </x:c>
      <x:c r="D105" s="42" t="str">
        <x:v>Keeper Uprising</x:v>
      </x:c>
    </x:row>
    <x:row r="106">
      <x:c r="A106" s="39" t="n">
        <x:f>RANK.EQ(C106,$C$4:$C$273,0)</x:f>
        <x:v>103</x:v>
      </x:c>
      <x:c r="B106" s="40" t="str">
        <x:v>LuiziN</x:v>
      </x:c>
      <x:c r="C106" s="41" t="n">
        <x:f>SUMIF('Categorias'!$E$4:$E$1347,B106,'Categorias'!$G$4:$G$1347)</x:f>
        <x:v>145.3152570359858</x:v>
      </x:c>
      <x:c r="D106" s="42" t="str">
        <x:v>Guild Challenge</x:v>
      </x:c>
    </x:row>
    <x:row r="107">
      <x:c r="A107" s="39" t="n">
        <x:f>RANK.EQ(C107,$C$4:$C$273,0)</x:f>
        <x:v>104</x:v>
      </x:c>
      <x:c r="B107" s="40" t="str">
        <x:v>MissyPT</x:v>
      </x:c>
      <x:c r="C107" s="41" t="n">
        <x:f>SUMIF('Categorias'!$E$4:$E$1347,B107,'Categorias'!$G$4:$G$1347)</x:f>
        <x:v>143.71762724381415</x:v>
      </x:c>
      <x:c r="D107" s="42" t="str">
        <x:v>Keeper Uprising</x:v>
      </x:c>
    </x:row>
    <x:row r="108">
      <x:c r="A108" s="39" t="n">
        <x:f>RANK.EQ(C108,$C$4:$C$273,0)</x:f>
        <x:v>105</x:v>
      </x:c>
      <x:c r="B108" s="40" t="str">
        <x:v>teessa</x:v>
      </x:c>
      <x:c r="C108" s="41" t="n">
        <x:f>SUMIF('Categorias'!$E$4:$E$1347,B108,'Categorias'!$G$4:$G$1347)</x:f>
        <x:v>138.20060491807538</x:v>
      </x:c>
      <x:c r="D108" s="42" t="str">
        <x:v>Keeper Uprising</x:v>
      </x:c>
    </x:row>
    <x:row r="109">
      <x:c r="A109" s="39" t="n">
        <x:f>RANK.EQ(C109,$C$4:$C$273,0)</x:f>
        <x:v>106</x:v>
      </x:c>
      <x:c r="B109" s="40" t="str">
        <x:v>XIShanksXI</x:v>
      </x:c>
      <x:c r="C109" s="41" t="n">
        <x:f>SUMIF('Categorias'!$E$4:$E$1347,B109,'Categorias'!$G$4:$G$1347)</x:f>
        <x:v>133.44356742834293</x:v>
      </x:c>
      <x:c r="D109" s="42" t="str">
        <x:v>Guild Challenge</x:v>
      </x:c>
    </x:row>
    <x:row r="110">
      <x:c r="A110" s="39" t="n">
        <x:f>RANK.EQ(C110,$C$4:$C$273,0)</x:f>
        <x:v>107</x:v>
      </x:c>
      <x:c r="B110" s="40" t="str">
        <x:v>YukitoRaiden</x:v>
      </x:c>
      <x:c r="C110" s="41" t="n">
        <x:f>SUMIF('Categorias'!$E$4:$E$1347,B110,'Categorias'!$G$4:$G$1347)</x:f>
        <x:v>132.52700551807385</x:v>
      </x:c>
      <x:c r="D110" s="42" t="str">
        <x:v>Guild Challenge</x:v>
      </x:c>
    </x:row>
    <x:row r="111">
      <x:c r="A111" s="39" t="n">
        <x:f>RANK.EQ(C111,$C$4:$C$273,0)</x:f>
        <x:v>108</x:v>
      </x:c>
      <x:c r="B111" s="40" t="str">
        <x:v>gugaboss</x:v>
      </x:c>
      <x:c r="C111" s="41" t="n">
        <x:f>SUMIF('Categorias'!$E$4:$E$1347,B111,'Categorias'!$G$4:$G$1347)</x:f>
        <x:v>130.80608839168934</x:v>
      </x:c>
      <x:c r="D111" s="42" t="str">
        <x:v>Guild Challenge</x:v>
      </x:c>
    </x:row>
    <x:row r="112">
      <x:c r="A112" s="39" t="n">
        <x:f>RANK.EQ(C112,$C$4:$C$273,0)</x:f>
        <x:v>109</x:v>
      </x:c>
      <x:c r="B112" s="40" t="str">
        <x:v>morrty</x:v>
      </x:c>
      <x:c r="C112" s="41" t="n">
        <x:f>SUMIF('Categorias'!$E$4:$E$1347,B112,'Categorias'!$G$4:$G$1347)</x:f>
        <x:v>130.39590064294322</x:v>
      </x:c>
      <x:c r="D112" s="42" t="str">
        <x:v>Guild Challenge</x:v>
      </x:c>
    </x:row>
    <x:row r="113">
      <x:c r="A113" s="39" t="n">
        <x:f>RANK.EQ(C113,$C$4:$C$273,0)</x:f>
        <x:v>110</x:v>
      </x:c>
      <x:c r="B113" s="40" t="str">
        <x:v>Rammstein</x:v>
      </x:c>
      <x:c r="C113" s="41" t="n">
        <x:f>SUMIF('Categorias'!$E$4:$E$1347,B113,'Categorias'!$G$4:$G$1347)</x:f>
        <x:v>127.59714570197106</x:v>
      </x:c>
      <x:c r="D113" s="42" t="str">
        <x:v>PvE Black</x:v>
      </x:c>
    </x:row>
    <x:row r="114">
      <x:c r="A114" s="39" t="n">
        <x:f>RANK.EQ(C114,$C$4:$C$273,0)</x:f>
        <x:v>111</x:v>
      </x:c>
      <x:c r="B114" s="40" t="str">
        <x:v>BWCTuga</x:v>
      </x:c>
      <x:c r="C114" s="41" t="n">
        <x:f>SUMIF('Categorias'!$E$4:$E$1347,B114,'Categorias'!$G$4:$G$1347)</x:f>
        <x:v>112.39270193577816</x:v>
      </x:c>
      <x:c r="D114" s="42" t="str">
        <x:v>Keeper Uprising</x:v>
      </x:c>
    </x:row>
    <x:row r="115">
      <x:c r="A115" s="39" t="n">
        <x:f>RANK.EQ(C115,$C$4:$C$273,0)</x:f>
        <x:v>112</x:v>
      </x:c>
      <x:c r="B115" s="40" t="str">
        <x:v>Elga7id</x:v>
      </x:c>
      <x:c r="C115" s="41" t="n">
        <x:f>SUMIF('Categorias'!$E$4:$E$1347,B115,'Categorias'!$G$4:$G$1347)</x:f>
        <x:v>102.9380625775602</x:v>
      </x:c>
      <x:c r="D115" s="42" t="str">
        <x:v>Guild Challenge</x:v>
      </x:c>
    </x:row>
    <x:row r="116">
      <x:c r="A116" s="39" t="n">
        <x:f>RANK.EQ(C116,$C$4:$C$273,0)</x:f>
        <x:v>113</x:v>
      </x:c>
      <x:c r="B116" s="40" t="str">
        <x:v>DanyV2</x:v>
      </x:c>
      <x:c r="C116" s="41" t="n">
        <x:f>SUMIF('Categorias'!$E$4:$E$1347,B116,'Categorias'!$G$4:$G$1347)</x:f>
        <x:v>84.90267291139425</x:v>
      </x:c>
      <x:c r="D116" s="42" t="str">
        <x:v>Castelos e Outposts</x:v>
      </x:c>
    </x:row>
    <x:row r="117">
      <x:c r="A117" s="39" t="n">
        <x:f>RANK.EQ(C117,$C$4:$C$273,0)</x:f>
        <x:v>114</x:v>
      </x:c>
      <x:c r="B117" s="40" t="str">
        <x:v>julszthaone</x:v>
      </x:c>
      <x:c r="C117" s="41" t="n">
        <x:f>SUMIF('Categorias'!$E$4:$E$1347,B117,'Categorias'!$G$4:$G$1347)</x:f>
        <x:v>84.42120382685911</x:v>
      </x:c>
      <x:c r="D117" s="42" t="str">
        <x:v>Keeper Uprising</x:v>
      </x:c>
    </x:row>
    <x:row r="118">
      <x:c r="A118" s="39" t="n">
        <x:f>RANK.EQ(C118,$C$4:$C$273,0)</x:f>
        <x:v>115</x:v>
      </x:c>
      <x:c r="B118" s="40" t="str">
        <x:v>Hlinha</x:v>
      </x:c>
      <x:c r="C118" s="41" t="n">
        <x:f>SUMIF('Categorias'!$E$4:$E$1347,B118,'Categorias'!$G$4:$G$1347)</x:f>
        <x:v>78.74621083992079</x:v>
      </x:c>
      <x:c r="D118" s="42" t="str">
        <x:v>Keeper Uprising</x:v>
      </x:c>
    </x:row>
    <x:row r="119">
      <x:c r="A119" s="39" t="n">
        <x:f>RANK.EQ(C119,$C$4:$C$273,0)</x:f>
        <x:v>116</x:v>
      </x:c>
      <x:c r="B119" s="40" t="str">
        <x:v>Tuga95</x:v>
      </x:c>
      <x:c r="C119" s="41" t="n">
        <x:f>SUMIF('Categorias'!$E$4:$E$1347,B119,'Categorias'!$G$4:$G$1347)</x:f>
        <x:v>75.81390407502533</x:v>
      </x:c>
      <x:c r="D119" s="42" t="str">
        <x:v>Guild Challenge</x:v>
      </x:c>
    </x:row>
    <x:row r="120">
      <x:c r="A120" s="39" t="n">
        <x:f>RANK.EQ(C120,$C$4:$C$273,0)</x:f>
        <x:v>117</x:v>
      </x:c>
      <x:c r="B120" s="40" t="str">
        <x:v>CunaPrata</x:v>
      </x:c>
      <x:c r="C120" s="41" t="n">
        <x:f>SUMIF('Categorias'!$E$4:$E$1347,B120,'Categorias'!$G$4:$G$1347)</x:f>
        <x:v>73.97162919120903</x:v>
      </x:c>
      <x:c r="D120" s="42" t="str">
        <x:v>Keeper Uprising</x:v>
      </x:c>
    </x:row>
    <x:row r="121">
      <x:c r="A121" s="39" t="n">
        <x:f>RANK.EQ(C121,$C$4:$C$273,0)</x:f>
        <x:v>118</x:v>
      </x:c>
      <x:c r="B121" s="40" t="str">
        <x:v>kadigo</x:v>
      </x:c>
      <x:c r="C121" s="41" t="n">
        <x:f>SUMIF('Categorias'!$E$4:$E$1347,B121,'Categorias'!$G$4:$G$1347)</x:f>
        <x:v>72.69177224688684</x:v>
      </x:c>
      <x:c r="D121" s="42" t="str">
        <x:v>Keeper Uprising</x:v>
      </x:c>
    </x:row>
    <x:row r="122">
      <x:c r="A122" s="39" t="n">
        <x:f>RANK.EQ(C122,$C$4:$C$273,0)</x:f>
        <x:v>119</x:v>
      </x:c>
      <x:c r="B122" s="40" t="str">
        <x:v>Lostmothers</x:v>
      </x:c>
      <x:c r="C122" s="41" t="n">
        <x:f>SUMIF('Categorias'!$E$4:$E$1347,B122,'Categorias'!$G$4:$G$1347)</x:f>
        <x:v>72.49404984807592</x:v>
      </x:c>
      <x:c r="D122" s="42" t="str">
        <x:v>Contrabandistas</x:v>
      </x:c>
    </x:row>
    <x:row r="123">
      <x:c r="A123" s="39" t="n">
        <x:f>RANK.EQ(C123,$C$4:$C$273,0)</x:f>
        <x:v>120</x:v>
      </x:c>
      <x:c r="B123" s="40" t="str">
        <x:v>MRBrutu</x:v>
      </x:c>
      <x:c r="C123" s="41" t="n">
        <x:f>SUMIF('Categorias'!$E$4:$E$1347,B123,'Categorias'!$G$4:$G$1347)</x:f>
        <x:v>72.03863913381406</x:v>
      </x:c>
      <x:c r="D123" s="42" t="str">
        <x:v>Guild Challenge</x:v>
      </x:c>
    </x:row>
    <x:row r="124">
      <x:c r="A124" s="39" t="n">
        <x:f>RANK.EQ(C124,$C$4:$C$273,0)</x:f>
        <x:v>121</x:v>
      </x:c>
      <x:c r="B124" s="40" t="str">
        <x:v>EBMonarca</x:v>
      </x:c>
      <x:c r="C124" s="41" t="n">
        <x:f>SUMIF('Categorias'!$E$4:$E$1347,B124,'Categorias'!$G$4:$G$1347)</x:f>
        <x:v>71.76335642974207</x:v>
      </x:c>
      <x:c r="D124" s="42" t="str">
        <x:v>Coleta Black</x:v>
      </x:c>
    </x:row>
    <x:row r="125">
      <x:c r="A125" s="39" t="n">
        <x:f>RANK.EQ(C125,$C$4:$C$273,0)</x:f>
        <x:v>122</x:v>
      </x:c>
      <x:c r="B125" s="40" t="str">
        <x:v>AnjoThall</x:v>
      </x:c>
      <x:c r="C125" s="41" t="n">
        <x:f>SUMIF('Categorias'!$E$4:$E$1347,B125,'Categorias'!$G$4:$G$1347)</x:f>
        <x:v>70.07421053634505</x:v>
      </x:c>
      <x:c r="D125" s="42" t="str">
        <x:v>Tesouros Black</x:v>
      </x:c>
    </x:row>
    <x:row r="126">
      <x:c r="A126" s="39" t="n">
        <x:f>RANK.EQ(C126,$C$4:$C$273,0)</x:f>
        <x:v>123</x:v>
      </x:c>
      <x:c r="B126" s="40" t="str">
        <x:v>1NightReaperLWY</x:v>
      </x:c>
      <x:c r="C126" s="41" t="n">
        <x:f>SUMIF('Categorias'!$E$4:$E$1347,B126,'Categorias'!$G$4:$G$1347)</x:f>
        <x:v>67.94046863997883</x:v>
      </x:c>
      <x:c r="D126" s="42" t="str">
        <x:v>Keeper Uprising</x:v>
      </x:c>
    </x:row>
    <x:row r="127">
      <x:c r="A127" s="39" t="n">
        <x:f>RANK.EQ(C127,$C$4:$C$273,0)</x:f>
        <x:v>124</x:v>
      </x:c>
      <x:c r="B127" s="40" t="str">
        <x:v>KatarinasemC</x:v>
      </x:c>
      <x:c r="C127" s="41" t="n">
        <x:f>SUMIF('Categorias'!$E$4:$E$1347,B127,'Categorias'!$G$4:$G$1347)</x:f>
        <x:v>67.82412832845652</x:v>
      </x:c>
      <x:c r="D127" s="42" t="str">
        <x:v>Coleta Black</x:v>
      </x:c>
    </x:row>
    <x:row r="128">
      <x:c r="A128" s="39" t="n">
        <x:f>RANK.EQ(C128,$C$4:$C$273,0)</x:f>
        <x:v>125</x:v>
      </x:c>
      <x:c r="B128" s="40" t="str">
        <x:v>BrunoAnulino</x:v>
      </x:c>
      <x:c r="C128" s="41" t="n">
        <x:f>SUMIF('Categorias'!$E$4:$E$1347,B128,'Categorias'!$G$4:$G$1347)</x:f>
        <x:v>67.74557411703523</x:v>
      </x:c>
      <x:c r="D128" s="42" t="str">
        <x:v>Guild Challenge</x:v>
      </x:c>
    </x:row>
    <x:row r="129">
      <x:c r="A129" s="39" t="n">
        <x:f>RANK.EQ(C129,$C$4:$C$273,0)</x:f>
        <x:v>126</x:v>
      </x:c>
      <x:c r="B129" s="40" t="str">
        <x:v>Madruguinha</x:v>
      </x:c>
      <x:c r="C129" s="41" t="n">
        <x:f>SUMIF('Categorias'!$E$4:$E$1347,B129,'Categorias'!$G$4:$G$1347)</x:f>
        <x:v>67.44651821824613</x:v>
      </x:c>
      <x:c r="D129" s="42" t="str">
        <x:v>Contrabandistas</x:v>
      </x:c>
    </x:row>
    <x:row r="130">
      <x:c r="A130" s="39" t="n">
        <x:f>RANK.EQ(C130,$C$4:$C$273,0)</x:f>
        <x:v>127</x:v>
      </x:c>
      <x:c r="B130" s="40" t="str">
        <x:v>Aradzin</x:v>
      </x:c>
      <x:c r="C130" s="41" t="n">
        <x:f>SUMIF('Categorias'!$E$4:$E$1347,B130,'Categorias'!$G$4:$G$1347)</x:f>
        <x:v>64.31344032562373</x:v>
      </x:c>
      <x:c r="D130" s="42" t="str">
        <x:v>Guild Challenge</x:v>
      </x:c>
    </x:row>
    <x:row r="131">
      <x:c r="A131" s="39" t="n">
        <x:f>RANK.EQ(C131,$C$4:$C$273,0)</x:f>
        <x:v>128</x:v>
      </x:c>
      <x:c r="B131" s="40" t="str">
        <x:v>ImPetty</x:v>
      </x:c>
      <x:c r="C131" s="41" t="n">
        <x:f>SUMIF('Categorias'!$E$4:$E$1347,B131,'Categorias'!$G$4:$G$1347)</x:f>
        <x:v>62.55701147424265</x:v>
      </x:c>
      <x:c r="D131" s="42" t="str">
        <x:v>Guild Challenge</x:v>
      </x:c>
    </x:row>
    <x:row r="132">
      <x:c r="A132" s="39" t="n">
        <x:f>RANK.EQ(C132,$C$4:$C$273,0)</x:f>
        <x:v>129</x:v>
      </x:c>
      <x:c r="B132" s="40" t="str">
        <x:v>Superrr2855</x:v>
      </x:c>
      <x:c r="C132" s="41" t="n">
        <x:f>SUMIF('Categorias'!$E$4:$E$1347,B132,'Categorias'!$G$4:$G$1347)</x:f>
        <x:v>58.938321349183894</x:v>
      </x:c>
      <x:c r="D132" s="42" t="str">
        <x:v>Keeper Uprising</x:v>
      </x:c>
    </x:row>
    <x:row r="133">
      <x:c r="A133" s="39" t="n">
        <x:f>RANK.EQ(C133,$C$4:$C$273,0)</x:f>
        <x:v>130</x:v>
      </x:c>
      <x:c r="B133" s="40" t="str">
        <x:v>Warm4m</x:v>
      </x:c>
      <x:c r="C133" s="41" t="n">
        <x:f>SUMIF('Categorias'!$E$4:$E$1347,B133,'Categorias'!$G$4:$G$1347)</x:f>
        <x:v>53.99940729328883</x:v>
      </x:c>
      <x:c r="D133" s="42" t="str">
        <x:v>Guild Challenge</x:v>
      </x:c>
    </x:row>
    <x:row r="134">
      <x:c r="A134" s="39" t="n">
        <x:f>RANK.EQ(C134,$C$4:$C$273,0)</x:f>
        <x:v>131</x:v>
      </x:c>
      <x:c r="B134" s="40" t="str">
        <x:v>ZURGUING</x:v>
      </x:c>
      <x:c r="C134" s="41" t="n">
        <x:f>SUMIF('Categorias'!$E$4:$E$1347,B134,'Categorias'!$G$4:$G$1347)</x:f>
        <x:v>50.58601401924953</x:v>
      </x:c>
      <x:c r="D134" s="42" t="str">
        <x:v>Profundezas</x:v>
      </x:c>
    </x:row>
    <x:row r="135">
      <x:c r="A135" s="39" t="n">
        <x:f>RANK.EQ(C135,$C$4:$C$273,0)</x:f>
        <x:v>132</x:v>
      </x:c>
      <x:c r="B135" s="40" t="str">
        <x:v>Imortal</x:v>
      </x:c>
      <x:c r="C135" s="41" t="n">
        <x:f>SUMIF('Categorias'!$E$4:$E$1347,B135,'Categorias'!$G$4:$G$1347)</x:f>
        <x:v>50.32463573142833</x:v>
      </x:c>
      <x:c r="D135" s="42" t="str">
        <x:v>Keeper Uprising</x:v>
      </x:c>
    </x:row>
    <x:row r="136">
      <x:c r="A136" s="39" t="n">
        <x:f>RANK.EQ(C136,$C$4:$C$273,0)</x:f>
        <x:v>133</x:v>
      </x:c>
      <x:c r="B136" s="40" t="str">
        <x:v>TheoTheLion</x:v>
      </x:c>
      <x:c r="C136" s="41" t="n">
        <x:f>SUMIF('Categorias'!$E$4:$E$1347,B136,'Categorias'!$G$4:$G$1347)</x:f>
        <x:v>48.320857969991295</x:v>
      </x:c>
      <x:c r="D136" s="42" t="str">
        <x:v>Guild Challenge</x:v>
      </x:c>
    </x:row>
    <x:row r="137">
      <x:c r="A137" s="39" t="n">
        <x:f>RANK.EQ(C137,$C$4:$C$273,0)</x:f>
        <x:v>134</x:v>
      </x:c>
      <x:c r="B137" s="40" t="str">
        <x:v>RodriRowanShade</x:v>
      </x:c>
      <x:c r="C137" s="41" t="n">
        <x:f>SUMIF('Categorias'!$E$4:$E$1347,B137,'Categorias'!$G$4:$G$1347)</x:f>
        <x:v>44.98547241418043</x:v>
      </x:c>
      <x:c r="D137" s="42" t="str">
        <x:v>Guild Challenge</x:v>
      </x:c>
    </x:row>
    <x:row r="138">
      <x:c r="A138" s="39" t="n">
        <x:f>RANK.EQ(C138,$C$4:$C$273,0)</x:f>
        <x:v>135</x:v>
      </x:c>
      <x:c r="B138" s="40" t="str">
        <x:v>Davllmix</x:v>
      </x:c>
      <x:c r="C138" s="41" t="n">
        <x:f>SUMIF('Categorias'!$E$4:$E$1347,B138,'Categorias'!$G$4:$G$1347)</x:f>
        <x:v>44.42922029089392</x:v>
      </x:c>
      <x:c r="D138" s="42" t="str">
        <x:v>Keeper Uprising</x:v>
      </x:c>
    </x:row>
    <x:row r="139">
      <x:c r="A139" s="39" t="n">
        <x:f>RANK.EQ(C139,$C$4:$C$273,0)</x:f>
        <x:v>136</x:v>
      </x:c>
      <x:c r="B139" s="40" t="str">
        <x:v>JoxPT</x:v>
      </x:c>
      <x:c r="C139" s="41" t="n">
        <x:f>SUMIF('Categorias'!$E$4:$E$1347,B139,'Categorias'!$G$4:$G$1347)</x:f>
        <x:v>43.34751050983097</x:v>
      </x:c>
      <x:c r="D139" s="42" t="str">
        <x:v>Power Cores</x:v>
      </x:c>
    </x:row>
    <x:row r="140">
      <x:c r="A140" s="39" t="n">
        <x:f>RANK.EQ(C140,$C$4:$C$273,0)</x:f>
        <x:v>137</x:v>
      </x:c>
      <x:c r="B140" s="40" t="str">
        <x:v>NevesXC</x:v>
      </x:c>
      <x:c r="C140" s="41" t="n">
        <x:f>SUMIF('Categorias'!$E$4:$E$1347,B140,'Categorias'!$G$4:$G$1347)</x:f>
        <x:v>41.56014459780532</x:v>
      </x:c>
      <x:c r="D140" s="42" t="str">
        <x:v>Guild Challenge</x:v>
      </x:c>
    </x:row>
    <x:row r="141">
      <x:c r="A141" s="39" t="n">
        <x:f>RANK.EQ(C141,$C$4:$C$273,0)</x:f>
        <x:v>138</x:v>
      </x:c>
      <x:c r="B141" s="40" t="str">
        <x:v>2PowerGiat</x:v>
      </x:c>
      <x:c r="C141" s="41" t="n">
        <x:f>SUMIF('Categorias'!$E$4:$E$1347,B141,'Categorias'!$G$4:$G$1347)</x:f>
        <x:v>41.34101592703955</x:v>
      </x:c>
      <x:c r="D141" s="42" t="str">
        <x:v>Corrompidas</x:v>
      </x:c>
    </x:row>
    <x:row r="142">
      <x:c r="A142" s="39" t="n">
        <x:f>RANK.EQ(C142,$C$4:$C$273,0)</x:f>
        <x:v>139</x:v>
      </x:c>
      <x:c r="B142" s="40" t="str">
        <x:v>RVZZ24</x:v>
      </x:c>
      <x:c r="C142" s="41" t="n">
        <x:f>SUMIF('Categorias'!$E$4:$E$1347,B142,'Categorias'!$G$4:$G$1347)</x:f>
        <x:v>40.35561518482595</x:v>
      </x:c>
      <x:c r="D142" s="42" t="str">
        <x:v>Guild Challenge</x:v>
      </x:c>
    </x:row>
    <x:row r="143">
      <x:c r="A143" s="39" t="n">
        <x:f>RANK.EQ(C143,$C$4:$C$273,0)</x:f>
        <x:v>140</x:v>
      </x:c>
      <x:c r="B143" s="40" t="str">
        <x:v>leonekilua</x:v>
      </x:c>
      <x:c r="C143" s="41" t="n">
        <x:f>SUMIF('Categorias'!$E$4:$E$1347,B143,'Categorias'!$G$4:$G$1347)</x:f>
        <x:v>38.76157032119416</x:v>
      </x:c>
      <x:c r="D143" s="42" t="str">
        <x:v>Contrabandistas</x:v>
      </x:c>
    </x:row>
    <x:row r="144">
      <x:c r="A144" s="39" t="n">
        <x:f>RANK.EQ(C144,$C$4:$C$273,0)</x:f>
        <x:v>141</x:v>
      </x:c>
      <x:c r="B144" s="40" t="str">
        <x:v>Patiinhas</x:v>
      </x:c>
      <x:c r="C144" s="41" t="n">
        <x:f>SUMIF('Categorias'!$E$4:$E$1347,B144,'Categorias'!$G$4:$G$1347)</x:f>
        <x:v>38.69609213877239</x:v>
      </x:c>
      <x:c r="D144" s="42" t="str">
        <x:v>Coleta Black</x:v>
      </x:c>
    </x:row>
    <x:row r="145">
      <x:c r="A145" s="39" t="n">
        <x:f>RANK.EQ(C145,$C$4:$C$273,0)</x:f>
        <x:v>142</x:v>
      </x:c>
      <x:c r="B145" s="40" t="str">
        <x:v>1SkylifhtLWY</x:v>
      </x:c>
      <x:c r="C145" s="41" t="n">
        <x:f>SUMIF('Categorias'!$E$4:$E$1347,B145,'Categorias'!$G$4:$G$1347)</x:f>
        <x:v>38.374598086933474</x:v>
      </x:c>
      <x:c r="D145" s="42" t="str">
        <x:v>Keeper Uprising</x:v>
      </x:c>
    </x:row>
    <x:row r="146">
      <x:c r="A146" s="39" t="n">
        <x:f>RANK.EQ(C146,$C$4:$C$273,0)</x:f>
        <x:v>143</x:v>
      </x:c>
      <x:c r="B146" s="40" t="str">
        <x:v>MaCiRoSKi</x:v>
      </x:c>
      <x:c r="C146" s="41" t="n">
        <x:f>SUMIF('Categorias'!$E$4:$E$1347,B146,'Categorias'!$G$4:$G$1347)</x:f>
        <x:v>38.329090806526025</x:v>
      </x:c>
      <x:c r="D146" s="42" t="str">
        <x:v>Guild Challenge</x:v>
      </x:c>
    </x:row>
    <x:row r="147">
      <x:c r="A147" s="39" t="n">
        <x:f>RANK.EQ(C147,$C$4:$C$273,0)</x:f>
        <x:v>144</x:v>
      </x:c>
      <x:c r="B147" s="40" t="str">
        <x:v>ChicaoCowboy</x:v>
      </x:c>
      <x:c r="C147" s="41" t="n">
        <x:f>SUMIF('Categorias'!$E$4:$E$1347,B147,'Categorias'!$G$4:$G$1347)</x:f>
        <x:v>37.928050358795026</x:v>
      </x:c>
      <x:c r="D147" s="42" t="str">
        <x:v>Guild Challenge</x:v>
      </x:c>
    </x:row>
    <x:row r="148">
      <x:c r="A148" s="39" t="n">
        <x:f>RANK.EQ(C148,$C$4:$C$273,0)</x:f>
        <x:v>145</x:v>
      </x:c>
      <x:c r="B148" s="40" t="str">
        <x:v>TensaiPT</x:v>
      </x:c>
      <x:c r="C148" s="41" t="n">
        <x:f>SUMIF('Categorias'!$E$4:$E$1347,B148,'Categorias'!$G$4:$G$1347)</x:f>
        <x:v>36.05457599573285</x:v>
      </x:c>
      <x:c r="D148" s="42" t="str">
        <x:v>Keeper Uprising</x:v>
      </x:c>
    </x:row>
    <x:row r="149">
      <x:c r="A149" s="39" t="n">
        <x:f>RANK.EQ(C149,$C$4:$C$273,0)</x:f>
        <x:v>146</x:v>
      </x:c>
      <x:c r="B149" s="40" t="str">
        <x:v>ROLEPLAY</x:v>
      </x:c>
      <x:c r="C149" s="41" t="n">
        <x:f>SUMIF('Categorias'!$E$4:$E$1347,B149,'Categorias'!$G$4:$G$1347)</x:f>
        <x:v>35.15119976996633</x:v>
      </x:c>
      <x:c r="D149" s="42" t="str">
        <x:v>Guild Challenge</x:v>
      </x:c>
    </x:row>
    <x:row r="150">
      <x:c r="A150" s="39" t="n">
        <x:f>RANK.EQ(C150,$C$4:$C$273,0)</x:f>
        <x:v>147</x:v>
      </x:c>
      <x:c r="B150" s="40" t="str">
        <x:v>Nery</x:v>
      </x:c>
      <x:c r="C150" s="41" t="n">
        <x:f>SUMIF('Categorias'!$E$4:$E$1347,B150,'Categorias'!$G$4:$G$1347)</x:f>
        <x:v>34.163491004969025</x:v>
      </x:c>
      <x:c r="D150" s="42" t="str">
        <x:v>Guild Challenge</x:v>
      </x:c>
    </x:row>
    <x:row r="151">
      <x:c r="A151" s="39" t="n">
        <x:f>RANK.EQ(C151,$C$4:$C$273,0)</x:f>
        <x:v>148</x:v>
      </x:c>
      <x:c r="B151" s="40" t="str">
        <x:v>Pevida</x:v>
      </x:c>
      <x:c r="C151" s="41" t="n">
        <x:f>SUMIF('Categorias'!$E$4:$E$1347,B151,'Categorias'!$G$4:$G$1347)</x:f>
        <x:v>33.820709907316434</x:v>
      </x:c>
      <x:c r="D151" s="42" t="str">
        <x:v>Guild Challenge</x:v>
      </x:c>
    </x:row>
    <x:row r="152">
      <x:c r="A152" s="39" t="n">
        <x:f>RANK.EQ(C152,$C$4:$C$273,0)</x:f>
        <x:v>149</x:v>
      </x:c>
      <x:c r="B152" s="40" t="str">
        <x:v>xVenon</x:v>
      </x:c>
      <x:c r="C152" s="41" t="n">
        <x:f>SUMIF('Categorias'!$E$4:$E$1347,B152,'Categorias'!$G$4:$G$1347)</x:f>
        <x:v>32.7799931730974</x:v>
      </x:c>
      <x:c r="D152" s="42" t="str">
        <x:v>Guild Challenge</x:v>
      </x:c>
    </x:row>
    <x:row r="153">
      <x:c r="A153" s="39" t="n">
        <x:f>RANK.EQ(C153,$C$4:$C$273,0)</x:f>
        <x:v>150</x:v>
      </x:c>
      <x:c r="B153" s="40" t="str">
        <x:v>TheBad</x:v>
      </x:c>
      <x:c r="C153" s="41" t="n">
        <x:f>SUMIF('Categorias'!$E$4:$E$1347,B153,'Categorias'!$G$4:$G$1347)</x:f>
        <x:v>31.950511285273752</x:v>
      </x:c>
      <x:c r="D153" s="42" t="str">
        <x:v>Keeper Uprising</x:v>
      </x:c>
    </x:row>
    <x:row r="154">
      <x:c r="A154" s="39" t="n">
        <x:f>RANK.EQ(C154,$C$4:$C$273,0)</x:f>
        <x:v>151</x:v>
      </x:c>
      <x:c r="B154" s="40" t="str">
        <x:v>tfmPuniSHEr</x:v>
      </x:c>
      <x:c r="C154" s="41" t="n">
        <x:f>SUMIF('Categorias'!$E$4:$E$1347,B154,'Categorias'!$G$4:$G$1347)</x:f>
        <x:v>31.91692320293994</x:v>
      </x:c>
      <x:c r="D154" s="42" t="str">
        <x:v>Guild Challenge</x:v>
      </x:c>
    </x:row>
    <x:row r="155">
      <x:c r="A155" s="39" t="n">
        <x:f>RANK.EQ(C155,$C$4:$C$273,0)</x:f>
        <x:v>152</x:v>
      </x:c>
      <x:c r="B155" s="40" t="str">
        <x:v>BobBob</x:v>
      </x:c>
      <x:c r="C155" s="41" t="n">
        <x:f>SUMIF('Categorias'!$E$4:$E$1347,B155,'Categorias'!$G$4:$G$1347)</x:f>
        <x:v>31.399121628349427</x:v>
      </x:c>
      <x:c r="D155" s="42" t="str">
        <x:v>Contrabandistas</x:v>
      </x:c>
    </x:row>
    <x:row r="156">
      <x:c r="A156" s="39" t="n">
        <x:f>RANK.EQ(C156,$C$4:$C$273,0)</x:f>
        <x:v>153</x:v>
      </x:c>
      <x:c r="B156" s="40" t="str">
        <x:v>OWERLORI123</x:v>
      </x:c>
      <x:c r="C156" s="41" t="n">
        <x:f>SUMIF('Categorias'!$E$4:$E$1347,B156,'Categorias'!$G$4:$G$1347)</x:f>
        <x:v>28.540668609848968</x:v>
      </x:c>
      <x:c r="D156" s="42" t="str">
        <x:v>Keeper Uprising</x:v>
      </x:c>
    </x:row>
    <x:row r="157">
      <x:c r="A157" s="39" t="n">
        <x:f>RANK.EQ(C157,$C$4:$C$273,0)</x:f>
        <x:v>154</x:v>
      </x:c>
      <x:c r="B157" s="40" t="str">
        <x:v>BigKaHuNa</x:v>
      </x:c>
      <x:c r="C157" s="41" t="n">
        <x:f>SUMIF('Categorias'!$E$4:$E$1347,B157,'Categorias'!$G$4:$G$1347)</x:f>
        <x:v>28.006151222393633</x:v>
      </x:c>
      <x:c r="D157" s="42" t="str">
        <x:v>Tesouros Black</x:v>
      </x:c>
    </x:row>
    <x:row r="158">
      <x:c r="A158" s="39" t="n">
        <x:f>RANK.EQ(C158,$C$4:$C$273,0)</x:f>
        <x:v>155</x:v>
      </x:c>
      <x:c r="B158" s="40" t="str">
        <x:v>dudugamexd43</x:v>
      </x:c>
      <x:c r="C158" s="41" t="n">
        <x:f>SUMIF('Categorias'!$E$4:$E$1347,B158,'Categorias'!$G$4:$G$1347)</x:f>
        <x:v>24.983420876490143</x:v>
      </x:c>
      <x:c r="D158" s="42" t="str">
        <x:v>Guild Challenge</x:v>
      </x:c>
    </x:row>
    <x:row r="159">
      <x:c r="A159" s="39" t="n">
        <x:f>RANK.EQ(C159,$C$4:$C$273,0)</x:f>
        <x:v>156</x:v>
      </x:c>
      <x:c r="B159" s="40" t="str">
        <x:v>nito19</x:v>
      </x:c>
      <x:c r="C159" s="41" t="n">
        <x:f>SUMIF('Categorias'!$E$4:$E$1347,B159,'Categorias'!$G$4:$G$1347)</x:f>
        <x:v>24.573184185693325</x:v>
      </x:c>
      <x:c r="D159" s="42" t="str">
        <x:v>Guild Challenge</x:v>
      </x:c>
    </x:row>
    <x:row r="160">
      <x:c r="A160" s="39" t="n">
        <x:f>RANK.EQ(C160,$C$4:$C$273,0)</x:f>
        <x:v>157</x:v>
      </x:c>
      <x:c r="B160" s="40" t="str">
        <x:v>B2r</x:v>
      </x:c>
      <x:c r="C160" s="41" t="n">
        <x:f>SUMIF('Categorias'!$E$4:$E$1347,B160,'Categorias'!$G$4:$G$1347)</x:f>
        <x:v>22.95812722349679</x:v>
      </x:c>
      <x:c r="D160" s="42" t="str">
        <x:v>Tesouros Black</x:v>
      </x:c>
    </x:row>
    <x:row r="161">
      <x:c r="A161" s="39" t="n">
        <x:f>RANK.EQ(C161,$C$4:$C$273,0)</x:f>
        <x:v>158</x:v>
      </x:c>
      <x:c r="B161" s="40" t="str">
        <x:v>Telesss</x:v>
      </x:c>
      <x:c r="C161" s="41" t="n">
        <x:f>SUMIF('Categorias'!$E$4:$E$1347,B161,'Categorias'!$G$4:$G$1347)</x:f>
        <x:v>22.57063765452438</x:v>
      </x:c>
      <x:c r="D161" s="42" t="str">
        <x:v>Guild Challenge</x:v>
      </x:c>
    </x:row>
    <x:row r="162">
      <x:c r="A162" s="39" t="n">
        <x:f>RANK.EQ(C162,$C$4:$C$273,0)</x:f>
        <x:v>159</x:v>
      </x:c>
      <x:c r="B162" s="40" t="str">
        <x:v>diovolo</x:v>
      </x:c>
      <x:c r="C162" s="41" t="n">
        <x:f>SUMIF('Categorias'!$E$4:$E$1347,B162,'Categorias'!$G$4:$G$1347)</x:f>
        <x:v>21.086168907935907</x:v>
      </x:c>
      <x:c r="D162" s="42" t="str">
        <x:v>Contrabandistas</x:v>
      </x:c>
    </x:row>
    <x:row r="163">
      <x:c r="A163" s="39" t="n">
        <x:f>RANK.EQ(C163,$C$4:$C$273,0)</x:f>
        <x:v>160</x:v>
      </x:c>
      <x:c r="B163" s="40" t="str">
        <x:v>TOTOYBATO</x:v>
      </x:c>
      <x:c r="C163" s="41" t="n">
        <x:f>SUMIF('Categorias'!$E$4:$E$1347,B163,'Categorias'!$G$4:$G$1347)</x:f>
        <x:v>19.41882580195991</x:v>
      </x:c>
      <x:c r="D163" s="42" t="str">
        <x:v>Guild Challenge</x:v>
      </x:c>
    </x:row>
    <x:row r="164">
      <x:c r="A164" s="39" t="n">
        <x:f>RANK.EQ(C164,$C$4:$C$273,0)</x:f>
        <x:v>161</x:v>
      </x:c>
      <x:c r="B164" s="40" t="str">
        <x:v>executador</x:v>
      </x:c>
      <x:c r="C164" s="41" t="n">
        <x:f>SUMIF('Categorias'!$E$4:$E$1347,B164,'Categorias'!$G$4:$G$1347)</x:f>
        <x:v>18.75219235182391</x:v>
      </x:c>
      <x:c r="D164" s="42" t="str">
        <x:v>Power Cores</x:v>
      </x:c>
    </x:row>
    <x:row r="165">
      <x:c r="A165" s="39" t="n">
        <x:f>RANK.EQ(C165,$C$4:$C$273,0)</x:f>
        <x:v>162</x:v>
      </x:c>
      <x:c r="B165" s="40" t="str">
        <x:v>Sonjigolo</x:v>
      </x:c>
      <x:c r="C165" s="41" t="n">
        <x:f>SUMIF('Categorias'!$E$4:$E$1347,B165,'Categorias'!$G$4:$G$1347)</x:f>
        <x:v>18.669307016081422</x:v>
      </x:c>
      <x:c r="D165" s="42" t="str">
        <x:v>Hellgates</x:v>
      </x:c>
    </x:row>
    <x:row r="166">
      <x:c r="A166" s="39" t="n">
        <x:f>RANK.EQ(C166,$C$4:$C$273,0)</x:f>
        <x:v>163</x:v>
      </x:c>
      <x:c r="B166" s="40" t="str">
        <x:v>Wolfy1st</x:v>
      </x:c>
      <x:c r="C166" s="41" t="n">
        <x:f>SUMIF('Categorias'!$E$4:$E$1347,B166,'Categorias'!$G$4:$G$1347)</x:f>
        <x:v>18.37363846894879</x:v>
      </x:c>
      <x:c r="D166" s="42" t="str">
        <x:v>Guild Challenge</x:v>
      </x:c>
    </x:row>
    <x:row r="167">
      <x:c r="A167" s="39" t="n">
        <x:f>RANK.EQ(C167,$C$4:$C$273,0)</x:f>
        <x:v>164</x:v>
      </x:c>
      <x:c r="B167" s="40" t="str">
        <x:v>Xiitos</x:v>
      </x:c>
      <x:c r="C167" s="41" t="n">
        <x:f>SUMIF('Categorias'!$E$4:$E$1347,B167,'Categorias'!$G$4:$G$1347)</x:f>
        <x:v>18.246715694967232</x:v>
      </x:c>
      <x:c r="D167" s="42" t="str">
        <x:v>Corrompidas</x:v>
      </x:c>
    </x:row>
    <x:row r="168">
      <x:c r="A168" s="39" t="n">
        <x:f>RANK.EQ(C168,$C$4:$C$273,0)</x:f>
        <x:v>165</x:v>
      </x:c>
      <x:c r="B168" s="40" t="str">
        <x:v>ToastT</x:v>
      </x:c>
      <x:c r="C168" s="41" t="n">
        <x:f>SUMIF('Categorias'!$E$4:$E$1347,B168,'Categorias'!$G$4:$G$1347)</x:f>
        <x:v>18.223080261526643</x:v>
      </x:c>
      <x:c r="D168" s="42" t="str">
        <x:v>Guild Challenge</x:v>
      </x:c>
    </x:row>
    <x:row r="169">
      <x:c r="A169" s="39" t="n">
        <x:f>RANK.EQ(C169,$C$4:$C$273,0)</x:f>
        <x:v>166</x:v>
      </x:c>
      <x:c r="B169" s="40" t="str">
        <x:v>JowManojow</x:v>
      </x:c>
      <x:c r="C169" s="41" t="n">
        <x:f>SUMIF('Categorias'!$E$4:$E$1347,B169,'Categorias'!$G$4:$G$1347)</x:f>
        <x:v>17.10713262023749</x:v>
      </x:c>
      <x:c r="D169" s="42" t="str">
        <x:v>Tesouros Black</x:v>
      </x:c>
    </x:row>
    <x:row r="170">
      <x:c r="A170" s="39" t="n">
        <x:f>RANK.EQ(C170,$C$4:$C$273,0)</x:f>
        <x:v>167</x:v>
      </x:c>
      <x:c r="B170" s="40" t="str">
        <x:v>ThordaSilva</x:v>
      </x:c>
      <x:c r="C170" s="41" t="n">
        <x:f>SUMIF('Categorias'!$E$4:$E$1347,B170,'Categorias'!$G$4:$G$1347)</x:f>
        <x:v>16.916052010872143</x:v>
      </x:c>
      <x:c r="D170" s="42" t="str">
        <x:v>Guild Challenge</x:v>
      </x:c>
    </x:row>
    <x:row r="171">
      <x:c r="A171" s="39" t="n">
        <x:f>RANK.EQ(C171,$C$4:$C$273,0)</x:f>
        <x:v>168</x:v>
      </x:c>
      <x:c r="B171" s="40" t="str">
        <x:v>GlitterGold</x:v>
      </x:c>
      <x:c r="C171" s="41" t="n">
        <x:f>SUMIF('Categorias'!$E$4:$E$1347,B171,'Categorias'!$G$4:$G$1347)</x:f>
        <x:v>14.714757224075829</x:v>
      </x:c>
      <x:c r="D171" s="42" t="str">
        <x:v>Guild Challenge</x:v>
      </x:c>
    </x:row>
    <x:row r="172">
      <x:c r="A172" s="39" t="n">
        <x:f>RANK.EQ(C172,$C$4:$C$273,0)</x:f>
        <x:v>169</x:v>
      </x:c>
      <x:c r="B172" s="40" t="str">
        <x:v>Vr4L</x:v>
      </x:c>
      <x:c r="C172" s="41" t="n">
        <x:f>SUMIF('Categorias'!$E$4:$E$1347,B172,'Categorias'!$G$4:$G$1347)</x:f>
        <x:v>14.385910084399688</x:v>
      </x:c>
      <x:c r="D172" s="42" t="str">
        <x:v>Guild Challenge</x:v>
      </x:c>
    </x:row>
    <x:row r="173">
      <x:c r="A173" s="39" t="n">
        <x:f>RANK.EQ(C173,$C$4:$C$273,0)</x:f>
        <x:v>170</x:v>
      </x:c>
      <x:c r="B173" s="40" t="str">
        <x:v>Kytario</x:v>
      </x:c>
      <x:c r="C173" s="41" t="n">
        <x:f>SUMIF('Categorias'!$E$4:$E$1347,B173,'Categorias'!$G$4:$G$1347)</x:f>
        <x:v>13.827301916431551</x:v>
      </x:c>
      <x:c r="D173" s="42" t="str">
        <x:v>Contrabandistas</x:v>
      </x:c>
    </x:row>
    <x:row r="174">
      <x:c r="A174" s="39" t="n">
        <x:f>RANK.EQ(C174,$C$4:$C$273,0)</x:f>
        <x:v>171</x:v>
      </x:c>
      <x:c r="B174" s="40" t="str">
        <x:v>JORJAO</x:v>
      </x:c>
      <x:c r="C174" s="41" t="n">
        <x:f>SUMIF('Categorias'!$E$4:$E$1347,B174,'Categorias'!$G$4:$G$1347)</x:f>
        <x:v>13.578050330342014</x:v>
      </x:c>
      <x:c r="D174" s="42" t="str">
        <x:v>Power Cores</x:v>
      </x:c>
    </x:row>
    <x:row r="175">
      <x:c r="A175" s="39" t="n">
        <x:f>RANK.EQ(C175,$C$4:$C$273,0)</x:f>
        <x:v>172</x:v>
      </x:c>
      <x:c r="B175" s="40" t="str">
        <x:v>JaxSlayer</x:v>
      </x:c>
      <x:c r="C175" s="41" t="n">
        <x:f>SUMIF('Categorias'!$E$4:$E$1347,B175,'Categorias'!$G$4:$G$1347)</x:f>
        <x:v>12.257292164159438</x:v>
      </x:c>
      <x:c r="D175" s="42" t="str">
        <x:v>Hellgates</x:v>
      </x:c>
    </x:row>
    <x:row r="176">
      <x:c r="A176" s="39" t="n">
        <x:f>RANK.EQ(C176,$C$4:$C$273,0)</x:f>
        <x:v>173</x:v>
      </x:c>
      <x:c r="B176" s="40" t="str">
        <x:v>SShadowless</x:v>
      </x:c>
      <x:c r="C176" s="41" t="n">
        <x:f>SUMIF('Categorias'!$E$4:$E$1347,B176,'Categorias'!$G$4:$G$1347)</x:f>
        <x:v>12.231112443868973</x:v>
      </x:c>
      <x:c r="D176" s="42" t="str">
        <x:v>Profundezas</x:v>
      </x:c>
    </x:row>
    <x:row r="177">
      <x:c r="A177" s="39" t="n">
        <x:f>RANK.EQ(C177,$C$4:$C$273,0)</x:f>
        <x:v>174</x:v>
      </x:c>
      <x:c r="B177" s="40" t="str">
        <x:v>Porquitchona</x:v>
      </x:c>
      <x:c r="C177" s="41" t="n">
        <x:f>SUMIF('Categorias'!$E$4:$E$1347,B177,'Categorias'!$G$4:$G$1347)</x:f>
        <x:v>12.174720222196441</x:v>
      </x:c>
      <x:c r="D177" s="42" t="str">
        <x:v>Power Cores</x:v>
      </x:c>
    </x:row>
    <x:row r="178">
      <x:c r="A178" s="39" t="n">
        <x:f>RANK.EQ(C178,$C$4:$C$273,0)</x:f>
        <x:v>175</x:v>
      </x:c>
      <x:c r="B178" s="40" t="str">
        <x:v>xKickout</x:v>
      </x:c>
      <x:c r="C178" s="41" t="n">
        <x:f>SUMIF('Categorias'!$E$4:$E$1347,B178,'Categorias'!$G$4:$G$1347)</x:f>
        <x:v>11.071275559235952</x:v>
      </x:c>
      <x:c r="D178" s="42" t="str">
        <x:v>Guild Challenge</x:v>
      </x:c>
    </x:row>
    <x:row r="179">
      <x:c r="A179" s="39" t="n">
        <x:f>RANK.EQ(C179,$C$4:$C$273,0)</x:f>
        <x:v>176</x:v>
      </x:c>
      <x:c r="B179" s="40" t="str">
        <x:v>ViToR09</x:v>
      </x:c>
      <x:c r="C179" s="41" t="n">
        <x:f>SUMIF('Categorias'!$E$4:$E$1347,B179,'Categorias'!$G$4:$G$1347)</x:f>
        <x:v>10.687975849862648</x:v>
      </x:c>
      <x:c r="D179" s="42" t="str">
        <x:v>Guild Challenge</x:v>
      </x:c>
    </x:row>
    <x:row r="180">
      <x:c r="A180" s="39" t="n">
        <x:f>RANK.EQ(C180,$C$4:$C$273,0)</x:f>
        <x:v>177</x:v>
      </x:c>
      <x:c r="B180" s="40" t="str">
        <x:v>Zicadas</x:v>
      </x:c>
      <x:c r="C180" s="41" t="n">
        <x:f>SUMIF('Categorias'!$E$4:$E$1347,B180,'Categorias'!$G$4:$G$1347)</x:f>
        <x:v>10.672157414884943</x:v>
      </x:c>
      <x:c r="D180" s="42" t="str">
        <x:v>Keeper Uprising</x:v>
      </x:c>
    </x:row>
    <x:row r="181">
      <x:c r="A181" s="39" t="n">
        <x:f>RANK.EQ(C181,$C$4:$C$273,0)</x:f>
        <x:v>178</x:v>
      </x:c>
      <x:c r="B181" s="40" t="str">
        <x:v>WillHue</x:v>
      </x:c>
      <x:c r="C181" s="41" t="n">
        <x:f>SUMIF('Categorias'!$E$4:$E$1347,B181,'Categorias'!$G$4:$G$1347)</x:f>
        <x:v>10.45624014482334</x:v>
      </x:c>
      <x:c r="D181" s="42" t="str">
        <x:v>Guild Challenge</x:v>
      </x:c>
    </x:row>
    <x:row r="182">
      <x:c r="A182" s="39" t="n">
        <x:f>RANK.EQ(C182,$C$4:$C$273,0)</x:f>
        <x:v>179</x:v>
      </x:c>
      <x:c r="B182" s="40" t="str">
        <x:v>Afonsosa</x:v>
      </x:c>
      <x:c r="C182" s="41" t="n">
        <x:f>SUMIF('Categorias'!$E$4:$E$1347,B182,'Categorias'!$G$4:$G$1347)</x:f>
        <x:v>9.333775970890299</x:v>
      </x:c>
      <x:c r="D182" s="42" t="str">
        <x:v>Guild Challenge</x:v>
      </x:c>
    </x:row>
    <x:row r="183">
      <x:c r="A183" s="39" t="n">
        <x:f>RANK.EQ(C183,$C$4:$C$273,0)</x:f>
        <x:v>180</x:v>
      </x:c>
      <x:c r="B183" s="40" t="str">
        <x:v>HooLiSheet</x:v>
      </x:c>
      <x:c r="C183" s="41" t="n">
        <x:f>SUMIF('Categorias'!$E$4:$E$1347,B183,'Categorias'!$G$4:$G$1347)</x:f>
        <x:v>9.040280325689437</x:v>
      </x:c>
      <x:c r="D183" s="42" t="str">
        <x:v>Tesouros Black</x:v>
      </x:c>
    </x:row>
    <x:row r="184">
      <x:c r="A184" s="39" t="n">
        <x:f>RANK.EQ(C184,$C$4:$C$273,0)</x:f>
        <x:v>181</x:v>
      </x:c>
      <x:c r="B184" s="40" t="str">
        <x:v>Lourok</x:v>
      </x:c>
      <x:c r="C184" s="41" t="n">
        <x:f>SUMIF('Categorias'!$E$4:$E$1347,B184,'Categorias'!$G$4:$G$1347)</x:f>
        <x:v>8.379657331270993</x:v>
      </x:c>
      <x:c r="D184" s="42" t="str">
        <x:v>Guild Challenge</x:v>
      </x:c>
    </x:row>
    <x:row r="185">
      <x:c r="A185" s="39" t="n">
        <x:f>RANK.EQ(C185,$C$4:$C$273,0)</x:f>
        <x:v>182</x:v>
      </x:c>
      <x:c r="B185" s="40" t="str">
        <x:v>gusta23</x:v>
      </x:c>
      <x:c r="C185" s="41" t="n">
        <x:f>SUMIF('Categorias'!$E$4:$E$1347,B185,'Categorias'!$G$4:$G$1347)</x:f>
        <x:v>8.178697970325267</x:v>
      </x:c>
      <x:c r="D185" s="42" t="str">
        <x:v>Guild Challenge</x:v>
      </x:c>
    </x:row>
    <x:row r="186">
      <x:c r="A186" s="39" t="n">
        <x:f>RANK.EQ(C186,$C$4:$C$273,0)</x:f>
        <x:v>183</x:v>
      </x:c>
      <x:c r="B186" s="40" t="str">
        <x:v>Bijior</x:v>
      </x:c>
      <x:c r="C186" s="41" t="n">
        <x:f>SUMIF('Categorias'!$E$4:$E$1347,B186,'Categorias'!$G$4:$G$1347)</x:f>
        <x:v>7.274306277589787</x:v>
      </x:c>
      <x:c r="D186" s="42" t="str">
        <x:v>Guild Challenge</x:v>
      </x:c>
    </x:row>
    <x:row r="187">
      <x:c r="A187" s="39" t="n">
        <x:f>RANK.EQ(C187,$C$4:$C$273,0)</x:f>
        <x:v>184</x:v>
      </x:c>
      <x:c r="B187" s="40" t="str">
        <x:v>suypoM</x:v>
      </x:c>
      <x:c r="C187" s="41" t="n">
        <x:f>SUMIF('Categorias'!$E$4:$E$1347,B187,'Categorias'!$G$4:$G$1347)</x:f>
        <x:v>7.263005738381523</x:v>
      </x:c>
      <x:c r="D187" s="42" t="str">
        <x:v>Guild Challenge</x:v>
      </x:c>
    </x:row>
    <x:row r="188">
      <x:c r="A188" s="39" t="n">
        <x:f>RANK.EQ(C188,$C$4:$C$273,0)</x:f>
        <x:v>185</x:v>
      </x:c>
      <x:c r="B188" s="40" t="str">
        <x:v>oldZada</x:v>
      </x:c>
      <x:c r="C188" s="41" t="n">
        <x:f>SUMIF('Categorias'!$E$4:$E$1347,B188,'Categorias'!$G$4:$G$1347)</x:f>
        <x:v>6.9134208779583535</x:v>
      </x:c>
      <x:c r="D188" s="42" t="str">
        <x:v>Guild Challenge</x:v>
      </x:c>
    </x:row>
    <x:row r="189">
      <x:c r="A189" s="39" t="n">
        <x:f>RANK.EQ(C189,$C$4:$C$273,0)</x:f>
        <x:v>186</x:v>
      </x:c>
      <x:c r="B189" s="40" t="str">
        <x:v>MakeOverBonk</x:v>
      </x:c>
      <x:c r="C189" s="41" t="n">
        <x:f>SUMIF('Categorias'!$E$4:$E$1347,B189,'Categorias'!$G$4:$G$1347)</x:f>
        <x:v>6.285631574782899</x:v>
      </x:c>
      <x:c r="D189" s="42" t="str">
        <x:v>Guild Challenge</x:v>
      </x:c>
    </x:row>
    <x:row r="190">
      <x:c r="A190" s="39" t="n">
        <x:f>RANK.EQ(C190,$C$4:$C$273,0)</x:f>
        <x:v>187</x:v>
      </x:c>
      <x:c r="B190" s="40" t="str">
        <x:v>RUILEI</x:v>
      </x:c>
      <x:c r="C190" s="41" t="n">
        <x:f>SUMIF('Categorias'!$E$4:$E$1347,B190,'Categorias'!$G$4:$G$1347)</x:f>
        <x:v>6.109000556752021</x:v>
      </x:c>
      <x:c r="D190" s="42" t="str">
        <x:v>Guild Challenge</x:v>
      </x:c>
    </x:row>
    <x:row r="191">
      <x:c r="A191" s="39" t="n">
        <x:f>RANK.EQ(C191,$C$4:$C$273,0)</x:f>
        <x:v>188</x:v>
      </x:c>
      <x:c r="B191" s="40" t="str">
        <x:v>elcondopassa</x:v>
      </x:c>
      <x:c r="C191" s="41" t="n">
        <x:f>SUMIF('Categorias'!$E$4:$E$1347,B191,'Categorias'!$G$4:$G$1347)</x:f>
        <x:v>5.357658663910945</x:v>
      </x:c>
      <x:c r="D191" s="42" t="str">
        <x:v>PvE Black</x:v>
      </x:c>
    </x:row>
    <x:row r="192">
      <x:c r="A192" s="39" t="n">
        <x:f>RANK.EQ(C192,$C$4:$C$273,0)</x:f>
        <x:v>189</x:v>
      </x:c>
      <x:c r="B192" s="40" t="str">
        <x:v>AmadaFoka</x:v>
      </x:c>
      <x:c r="C192" s="41" t="n">
        <x:f>SUMIF('Categorias'!$E$4:$E$1347,B192,'Categorias'!$G$4:$G$1347)</x:f>
        <x:v>4.8436611228209285</x:v>
      </x:c>
      <x:c r="D192" s="42" t="str">
        <x:v>Power Cores</x:v>
      </x:c>
    </x:row>
    <x:row r="193">
      <x:c r="A193" s="39" t="n">
        <x:f>RANK.EQ(C193,$C$4:$C$273,0)</x:f>
        <x:v>190</x:v>
      </x:c>
      <x:c r="B193" s="40" t="str">
        <x:v>xotinhadecoco</x:v>
      </x:c>
      <x:c r="C193" s="41" t="n">
        <x:f>SUMIF('Categorias'!$E$4:$E$1347,B193,'Categorias'!$G$4:$G$1347)</x:f>
        <x:v>4.775289653683577</x:v>
      </x:c>
      <x:c r="D193" s="42" t="str">
        <x:v>Guild Challenge</x:v>
      </x:c>
    </x:row>
    <x:row r="194">
      <x:c r="A194" s="39" t="n">
        <x:f>RANK.EQ(C194,$C$4:$C$273,0)</x:f>
        <x:v>191</x:v>
      </x:c>
      <x:c r="B194" s="40" t="str">
        <x:v>Miliys</x:v>
      </x:c>
      <x:c r="C194" s="41" t="n">
        <x:f>SUMIF('Categorias'!$E$4:$E$1347,B194,'Categorias'!$G$4:$G$1347)</x:f>
        <x:v>4.5172850840778205</x:v>
      </x:c>
      <x:c r="D194" s="42" t="str">
        <x:v>Tesouros Black</x:v>
      </x:c>
    </x:row>
    <x:row r="195">
      <x:c r="A195" s="39" t="n">
        <x:f>RANK.EQ(C195,$C$4:$C$273,0)</x:f>
        <x:v>192</x:v>
      </x:c>
      <x:c r="B195" s="40" t="str">
        <x:v>ImTheBestOf</x:v>
      </x:c>
      <x:c r="C195" s="41" t="n">
        <x:f>SUMIF('Categorias'!$E$4:$E$1347,B195,'Categorias'!$G$4:$G$1347)</x:f>
        <x:v>4.092752793592698</x:v>
      </x:c>
      <x:c r="D195" s="42" t="str">
        <x:v>Guild Challenge</x:v>
      </x:c>
    </x:row>
    <x:row r="196">
      <x:c r="A196" s="39" t="n">
        <x:f>RANK.EQ(C196,$C$4:$C$273,0)</x:f>
        <x:v>193</x:v>
      </x:c>
      <x:c r="B196" s="40" t="str">
        <x:v>Sariely</x:v>
      </x:c>
      <x:c r="C196" s="41" t="n">
        <x:f>SUMIF('Categorias'!$E$4:$E$1347,B196,'Categorias'!$G$4:$G$1347)</x:f>
        <x:v>4.076035710717366</x:v>
      </x:c>
      <x:c r="D196" s="42" t="str">
        <x:v>Guild Challenge</x:v>
      </x:c>
    </x:row>
    <x:row r="197">
      <x:c r="A197" s="39" t="n">
        <x:f>RANK.EQ(C197,$C$4:$C$273,0)</x:f>
        <x:v>194</x:v>
      </x:c>
      <x:c r="B197" s="40" t="str">
        <x:v>jotarokunBR78</x:v>
      </x:c>
      <x:c r="C197" s="41" t="n">
        <x:f>SUMIF('Categorias'!$E$4:$E$1347,B197,'Categorias'!$G$4:$G$1347)</x:f>
        <x:v>4.030820466725592</x:v>
      </x:c>
      <x:c r="D197" s="42" t="str">
        <x:v>Guild Challenge</x:v>
      </x:c>
    </x:row>
    <x:row r="198">
      <x:c r="A198" s="39" t="n">
        <x:f>RANK.EQ(C198,$C$4:$C$273,0)</x:f>
        <x:v>195</x:v>
      </x:c>
      <x:c r="B198" s="40" t="str">
        <x:v>DpOZPIO</x:v>
      </x:c>
      <x:c r="C198" s="41" t="n">
        <x:f>SUMIF('Categorias'!$E$4:$E$1347,B198,'Categorias'!$G$4:$G$1347)</x:f>
        <x:v>4.0220595832372075</x:v>
      </x:c>
      <x:c r="D198" s="42" t="str">
        <x:v>PvE Black</x:v>
      </x:c>
    </x:row>
    <x:row r="199">
      <x:c r="A199" s="39" t="n">
        <x:f>RANK.EQ(C199,$C$4:$C$273,0)</x:f>
        <x:v>196</x:v>
      </x:c>
      <x:c r="B199" s="40" t="str">
        <x:v>Sracriola</x:v>
      </x:c>
      <x:c r="C199" s="41" t="n">
        <x:f>SUMIF('Categorias'!$E$4:$E$1347,B199,'Categorias'!$G$4:$G$1347)</x:f>
        <x:v>3.8203073444196955</x:v>
      </x:c>
      <x:c r="D199" s="42" t="str">
        <x:v>Contrabandistas</x:v>
      </x:c>
    </x:row>
    <x:row r="200">
      <x:c r="A200" s="39" t="n">
        <x:f>RANK.EQ(C200,$C$4:$C$273,0)</x:f>
        <x:v>197</x:v>
      </x:c>
      <x:c r="B200" s="40" t="str">
        <x:v>KalosKirk2</x:v>
      </x:c>
      <x:c r="C200" s="41" t="n">
        <x:f>SUMIF('Categorias'!$E$4:$E$1347,B200,'Categorias'!$G$4:$G$1347)</x:f>
        <x:v>3.643092720347496</x:v>
      </x:c>
      <x:c r="D200" s="42" t="str">
        <x:v>Profundezas</x:v>
      </x:c>
    </x:row>
    <x:row r="201">
      <x:c r="A201" s="39" t="n">
        <x:f>RANK.EQ(C201,$C$4:$C$273,0)</x:f>
        <x:v>198</x:v>
      </x:c>
      <x:c r="B201" s="40" t="str">
        <x:v>Toolsnew</x:v>
      </x:c>
      <x:c r="C201" s="41" t="n">
        <x:f>SUMIF('Categorias'!$E$4:$E$1347,B201,'Categorias'!$G$4:$G$1347)</x:f>
        <x:v>3.5858135312314534</x:v>
      </x:c>
      <x:c r="D201" s="42" t="str">
        <x:v>Guild Challenge</x:v>
      </x:c>
    </x:row>
    <x:row r="202">
      <x:c r="A202" s="39" t="n">
        <x:f>RANK.EQ(C202,$C$4:$C$273,0)</x:f>
        <x:v>199</x:v>
      </x:c>
      <x:c r="B202" s="40" t="str">
        <x:v>o</x:v>
      </x:c>
      <x:c r="C202" s="41" t="n">
        <x:f>SUMIF('Categorias'!$E$4:$E$1347,B202,'Categorias'!$G$4:$G$1347)</x:f>
        <x:v>3.187312409804502</x:v>
      </x:c>
      <x:c r="D202" s="42" t="str">
        <x:v>Guild Challenge</x:v>
      </x:c>
    </x:row>
    <x:row r="203">
      <x:c r="A203" s="39" t="n">
        <x:f>RANK.EQ(C203,$C$4:$C$273,0)</x:f>
        <x:v>200</x:v>
      </x:c>
      <x:c r="B203" s="40" t="str">
        <x:v>Andrezao</x:v>
      </x:c>
      <x:c r="C203" s="41" t="n">
        <x:f>SUMIF('Categorias'!$E$4:$E$1347,B203,'Categorias'!$G$4:$G$1347)</x:f>
        <x:v>2.940404521305989</x:v>
      </x:c>
      <x:c r="D203" s="42" t="str">
        <x:v>Guild Challenge</x:v>
      </x:c>
    </x:row>
    <x:row r="204">
      <x:c r="A204" s="39" t="n">
        <x:f>RANK.EQ(C204,$C$4:$C$273,0)</x:f>
        <x:v>201</x:v>
      </x:c>
      <x:c r="B204" s="40" t="str">
        <x:v>yPROF</x:v>
      </x:c>
      <x:c r="C204" s="41" t="n">
        <x:f>SUMIF('Categorias'!$E$4:$E$1347,B204,'Categorias'!$G$4:$G$1347)</x:f>
        <x:v>2.839822674297525</x:v>
      </x:c>
      <x:c r="D204" s="42" t="str">
        <x:v>Guild Challenge</x:v>
      </x:c>
    </x:row>
    <x:row r="205">
      <x:c r="A205" s="39" t="n">
        <x:f>RANK.EQ(C205,$C$4:$C$273,0)</x:f>
        <x:v>202</x:v>
      </x:c>
      <x:c r="B205" s="40" t="str">
        <x:v>mknjbh</x:v>
      </x:c>
      <x:c r="C205" s="41" t="n">
        <x:f>SUMIF('Categorias'!$E$4:$E$1347,B205,'Categorias'!$G$4:$G$1347)</x:f>
        <x:v>2.8375461950590255</x:v>
      </x:c>
      <x:c r="D205" s="42" t="str">
        <x:v>Guild Challenge</x:v>
      </x:c>
    </x:row>
    <x:row r="206">
      <x:c r="A206" s="39" t="n">
        <x:f>RANK.EQ(C206,$C$4:$C$273,0)</x:f>
        <x:v>203</x:v>
      </x:c>
      <x:c r="B206" s="40" t="str">
        <x:v>Siriuslx7</x:v>
      </x:c>
      <x:c r="C206" s="41" t="n">
        <x:f>SUMIF('Categorias'!$E$4:$E$1347,B206,'Categorias'!$G$4:$G$1347)</x:f>
        <x:v>2.721362208870435</x:v>
      </x:c>
      <x:c r="D206" s="42" t="str">
        <x:v>Guild Challenge</x:v>
      </x:c>
    </x:row>
    <x:row r="207">
      <x:c r="A207" s="39" t="n">
        <x:f>RANK.EQ(C207,$C$4:$C$273,0)</x:f>
        <x:v>204</x:v>
      </x:c>
      <x:c r="B207" s="40" t="str">
        <x:v>jamaiquinha</x:v>
      </x:c>
      <x:c r="C207" s="41" t="n">
        <x:f>SUMIF('Categorias'!$E$4:$E$1347,B207,'Categorias'!$G$4:$G$1347)</x:f>
        <x:v>2.6433603539307757</x:v>
      </x:c>
      <x:c r="D207" s="42" t="str">
        <x:v>Guild Challenge</x:v>
      </x:c>
    </x:row>
    <x:row r="208">
      <x:c r="A208" s="39" t="n">
        <x:f>RANK.EQ(C208,$C$4:$C$273,0)</x:f>
        <x:v>205</x:v>
      </x:c>
      <x:c r="B208" s="40" t="str">
        <x:v>H1gor</x:v>
      </x:c>
      <x:c r="C208" s="41" t="n">
        <x:f>SUMIF('Categorias'!$E$4:$E$1347,B208,'Categorias'!$G$4:$G$1347)</x:f>
        <x:v>2.5044932257643837</x:v>
      </x:c>
      <x:c r="D208" s="42" t="str">
        <x:v>Tesouros Black</x:v>
      </x:c>
    </x:row>
    <x:row r="209">
      <x:c r="A209" s="39" t="n">
        <x:f>RANK.EQ(C209,$C$4:$C$273,0)</x:f>
        <x:v>206</x:v>
      </x:c>
      <x:c r="B209" s="40" t="str">
        <x:v>Austrix</x:v>
      </x:c>
      <x:c r="C209" s="41" t="n">
        <x:f>SUMIF('Categorias'!$E$4:$E$1347,B209,'Categorias'!$G$4:$G$1347)</x:f>
        <x:v>2.2753218099753147</x:v>
      </x:c>
      <x:c r="D209" s="42" t="str">
        <x:v>Keeper Uprising</x:v>
      </x:c>
    </x:row>
    <x:row r="210">
      <x:c r="A210" s="39" t="n">
        <x:f>RANK.EQ(C210,$C$4:$C$273,0)</x:f>
        <x:v>207</x:v>
      </x:c>
      <x:c r="B210" s="40" t="str">
        <x:v>Thevyr</x:v>
      </x:c>
      <x:c r="C210" s="41" t="n">
        <x:f>SUMIF('Categorias'!$E$4:$E$1347,B210,'Categorias'!$G$4:$G$1347)</x:f>
        <x:v>2.077637583467406</x:v>
      </x:c>
      <x:c r="D210" s="42" t="str">
        <x:v>Guild Challenge</x:v>
      </x:c>
    </x:row>
    <x:row r="211">
      <x:c r="A211" s="39" t="n">
        <x:f>RANK.EQ(C211,$C$4:$C$273,0)</x:f>
        <x:v>208</x:v>
      </x:c>
      <x:c r="B211" s="40" t="str">
        <x:v>ONEGANO</x:v>
      </x:c>
      <x:c r="C211" s="41" t="n">
        <x:f>SUMIF('Categorias'!$E$4:$E$1347,B211,'Categorias'!$G$4:$G$1347)</x:f>
        <x:v>2.063530864405297</x:v>
      </x:c>
      <x:c r="D211" s="42" t="str">
        <x:v>Guild Challenge</x:v>
      </x:c>
    </x:row>
    <x:row r="212">
      <x:c r="A212" s="39" t="n">
        <x:f>RANK.EQ(C212,$C$4:$C$273,0)</x:f>
        <x:v>209</x:v>
      </x:c>
      <x:c r="B212" s="40" t="str">
        <x:v>Bigodediarame</x:v>
      </x:c>
      <x:c r="C212" s="41" t="n">
        <x:f>SUMIF('Categorias'!$E$4:$E$1347,B212,'Categorias'!$G$4:$G$1347)</x:f>
        <x:v>1.95476946685888</x:v>
      </x:c>
      <x:c r="D212" s="42" t="str">
        <x:v>Keeper Uprising</x:v>
      </x:c>
    </x:row>
    <x:row r="213">
      <x:c r="A213" s="39" t="n">
        <x:f>RANK.EQ(C213,$C$4:$C$273,0)</x:f>
        <x:v>210</x:v>
      </x:c>
      <x:c r="B213" s="40" t="str">
        <x:v>SHEIKdOPONTILHAO</x:v>
      </x:c>
      <x:c r="C213" s="41" t="n">
        <x:f>SUMIF('Categorias'!$E$4:$E$1347,B213,'Categorias'!$G$4:$G$1347)</x:f>
        <x:v>1.9227092258760243</x:v>
      </x:c>
      <x:c r="D213" s="42" t="str">
        <x:v>Tesouros Black</x:v>
      </x:c>
    </x:row>
    <x:row r="214">
      <x:c r="A214" s="39" t="n">
        <x:f>RANK.EQ(C214,$C$4:$C$273,0)</x:f>
        <x:v>211</x:v>
      </x:c>
      <x:c r="B214" s="40" t="str">
        <x:v>lord3444</x:v>
      </x:c>
      <x:c r="C214" s="41" t="n">
        <x:f>SUMIF('Categorias'!$E$4:$E$1347,B214,'Categorias'!$G$4:$G$1347)</x:f>
        <x:v>1.9198564848487323</x:v>
      </x:c>
      <x:c r="D214" s="42" t="str">
        <x:v>Tesouros Black</x:v>
      </x:c>
    </x:row>
    <x:row r="215">
      <x:c r="A215" s="39" t="n">
        <x:f>RANK.EQ(C215,$C$4:$C$273,0)</x:f>
        <x:v>212</x:v>
      </x:c>
      <x:c r="B215" s="40" t="str">
        <x:v>bezaina</x:v>
      </x:c>
      <x:c r="C215" s="41" t="n">
        <x:f>SUMIF('Categorias'!$E$4:$E$1347,B215,'Categorias'!$G$4:$G$1347)</x:f>
        <x:v>1.9171434254522124</x:v>
      </x:c>
      <x:c r="D215" s="42" t="str">
        <x:v>Guild Challenge</x:v>
      </x:c>
    </x:row>
    <x:row r="216">
      <x:c r="A216" s="39" t="n">
        <x:f>RANK.EQ(C216,$C$4:$C$273,0)</x:f>
        <x:v>213</x:v>
      </x:c>
      <x:c r="B216" s="40" t="str">
        <x:v>Margitomen</x:v>
      </x:c>
      <x:c r="C216" s="41" t="n">
        <x:f>SUMIF('Categorias'!$E$4:$E$1347,B216,'Categorias'!$G$4:$G$1347)</x:f>
        <x:v>1.8725012056547494</x:v>
      </x:c>
      <x:c r="D216" s="42" t="str">
        <x:v>Keeper Uprising</x:v>
      </x:c>
    </x:row>
    <x:row r="217">
      <x:c r="A217" s="39" t="n">
        <x:f>RANK.EQ(C217,$C$4:$C$273,0)</x:f>
        <x:v>214</x:v>
      </x:c>
      <x:c r="B217" s="40" t="str">
        <x:v>GLADIADOR</x:v>
      </x:c>
      <x:c r="C217" s="41" t="n">
        <x:f>SUMIF('Categorias'!$E$4:$E$1347,B217,'Categorias'!$G$4:$G$1347)</x:f>
        <x:v>1.8053376006570974</x:v>
      </x:c>
      <x:c r="D217" s="42" t="str">
        <x:v>Guild Challenge</x:v>
      </x:c>
    </x:row>
    <x:row r="218">
      <x:c r="A218" s="39" t="n">
        <x:f>RANK.EQ(C218,$C$4:$C$273,0)</x:f>
        <x:v>215</x:v>
      </x:c>
      <x:c r="B218" s="40" t="str">
        <x:v>GolpeBaixo</x:v>
      </x:c>
      <x:c r="C218" s="41" t="n">
        <x:f>SUMIF('Categorias'!$E$4:$E$1347,B218,'Categorias'!$G$4:$G$1347)</x:f>
        <x:v>1.7850239252076605</x:v>
      </x:c>
      <x:c r="D218" s="42" t="str">
        <x:v>Guild Challenge</x:v>
      </x:c>
    </x:row>
    <x:row r="219">
      <x:c r="A219" s="39" t="n">
        <x:f>RANK.EQ(C219,$C$4:$C$273,0)</x:f>
        <x:v>216</x:v>
      </x:c>
      <x:c r="B219" s="40" t="str">
        <x:v>BUNNYYKII</x:v>
      </x:c>
      <x:c r="C219" s="41" t="n">
        <x:f>SUMIF('Categorias'!$E$4:$E$1347,B219,'Categorias'!$G$4:$G$1347)</x:f>
        <x:v>1.6213759266865277</x:v>
      </x:c>
      <x:c r="D219" s="42" t="str">
        <x:v>Guild Challenge</x:v>
      </x:c>
    </x:row>
    <x:row r="220">
      <x:c r="A220" s="39" t="n">
        <x:f>RANK.EQ(C220,$C$4:$C$273,0)</x:f>
        <x:v>217</x:v>
      </x:c>
      <x:c r="B220" s="40" t="str">
        <x:v>Caiporaathenari</x:v>
      </x:c>
      <x:c r="C220" s="41" t="n">
        <x:f>SUMIF('Categorias'!$E$4:$E$1347,B220,'Categorias'!$G$4:$G$1347)</x:f>
        <x:v>1.5241705372934629</x:v>
      </x:c>
      <x:c r="D220" s="42" t="str">
        <x:v>Guild Challenge</x:v>
      </x:c>
    </x:row>
    <x:row r="221">
      <x:c r="A221" s="39" t="n">
        <x:f>RANK.EQ(C221,$C$4:$C$273,0)</x:f>
        <x:v>218</x:v>
      </x:c>
      <x:c r="B221" s="40" t="str">
        <x:v>FVZX</x:v>
      </x:c>
      <x:c r="C221" s="41" t="n">
        <x:f>SUMIF('Categorias'!$E$4:$E$1347,B221,'Categorias'!$G$4:$G$1347)</x:f>
        <x:v>1.3203436000533604</x:v>
      </x:c>
      <x:c r="D221" s="42" t="str">
        <x:v>Keeper Uprising</x:v>
      </x:c>
    </x:row>
    <x:row r="222">
      <x:c r="A222" s="39" t="n">
        <x:f>RANK.EQ(C222,$C$4:$C$273,0)</x:f>
        <x:v>219</x:v>
      </x:c>
      <x:c r="B222" s="40" t="str">
        <x:v>Sekarlatt</x:v>
      </x:c>
      <x:c r="C222" s="41" t="n">
        <x:f>SUMIF('Categorias'!$E$4:$E$1347,B222,'Categorias'!$G$4:$G$1347)</x:f>
        <x:v>1.2607376350364796</x:v>
      </x:c>
      <x:c r="D222" s="42" t="str">
        <x:v>Guild Challenge</x:v>
      </x:c>
    </x:row>
    <x:row r="223">
      <x:c r="A223" s="39" t="n">
        <x:f>RANK.EQ(C223,$C$4:$C$273,0)</x:f>
        <x:v>220</x:v>
      </x:c>
      <x:c r="B223" s="40" t="str">
        <x:v>DinossauroDino</x:v>
      </x:c>
      <x:c r="C223" s="41" t="n">
        <x:f>SUMIF('Categorias'!$E$4:$E$1347,B223,'Categorias'!$G$4:$G$1347)</x:f>
        <x:v>1.2230106475167157</x:v>
      </x:c>
      <x:c r="D223" s="42" t="str">
        <x:v>Guild Challenge</x:v>
      </x:c>
    </x:row>
    <x:row r="224">
      <x:c r="A224" s="39" t="n">
        <x:f>RANK.EQ(C224,$C$4:$C$273,0)</x:f>
        <x:v>221</x:v>
      </x:c>
      <x:c r="B224" s="40" t="str">
        <x:v>ROBINHOBINHO</x:v>
      </x:c>
      <x:c r="C224" s="41" t="n">
        <x:f>SUMIF('Categorias'!$E$4:$E$1347,B224,'Categorias'!$G$4:$G$1347)</x:f>
        <x:v>1.133043379878287</x:v>
      </x:c>
      <x:c r="D224" s="42" t="str">
        <x:v>Guild Challenge</x:v>
      </x:c>
    </x:row>
    <x:row r="225">
      <x:c r="A225" s="39" t="n">
        <x:f>RANK.EQ(C225,$C$4:$C$273,0)</x:f>
        <x:v>222</x:v>
      </x:c>
      <x:c r="B225" s="40" t="str">
        <x:v>totentandojoga</x:v>
      </x:c>
      <x:c r="C225" s="41" t="n">
        <x:f>SUMIF('Categorias'!$E$4:$E$1347,B225,'Categorias'!$G$4:$G$1347)</x:f>
        <x:v>0.8730849952097258</x:v>
      </x:c>
      <x:c r="D225" s="42" t="str">
        <x:v>Guild Challenge</x:v>
      </x:c>
    </x:row>
    <x:row r="226">
      <x:c r="A226" s="39" t="n">
        <x:f>RANK.EQ(C226,$C$4:$C$273,0)</x:f>
        <x:v>223</x:v>
      </x:c>
      <x:c r="B226" s="40" t="str">
        <x:v>BloodXD</x:v>
      </x:c>
      <x:c r="C226" s="41" t="n">
        <x:f>SUMIF('Categorias'!$E$4:$E$1347,B226,'Categorias'!$G$4:$G$1347)</x:f>
        <x:v>0.7938455389922796</x:v>
      </x:c>
      <x:c r="D226" s="42" t="str">
        <x:v>Guild Challenge</x:v>
      </x:c>
    </x:row>
    <x:row r="227">
      <x:c r="A227" s="39" t="n">
        <x:f>RANK.EQ(C227,$C$4:$C$273,0)</x:f>
        <x:v>224</x:v>
      </x:c>
      <x:c r="B227" s="40" t="str">
        <x:v>Chapadexx</x:v>
      </x:c>
      <x:c r="C227" s="41" t="n">
        <x:f>SUMIF('Categorias'!$E$4:$E$1347,B227,'Categorias'!$G$4:$G$1347)</x:f>
        <x:v>0.7807226855173643</x:v>
      </x:c>
      <x:c r="D227" s="42" t="str">
        <x:v>Guild Challenge</x:v>
      </x:c>
    </x:row>
    <x:row r="228">
      <x:c r="A228" s="39" t="n">
        <x:f>RANK.EQ(C228,$C$4:$C$273,0)</x:f>
        <x:v>225</x:v>
      </x:c>
      <x:c r="B228" s="40" t="str">
        <x:v>OskiGoat</x:v>
      </x:c>
      <x:c r="C228" s="41" t="n">
        <x:f>SUMIF('Categorias'!$E$4:$E$1347,B228,'Categorias'!$G$4:$G$1347)</x:f>
        <x:v>0.6593834447825189</x:v>
      </x:c>
      <x:c r="D228" s="42" t="str">
        <x:v>Guild Challenge</x:v>
      </x:c>
    </x:row>
    <x:row r="229">
      <x:c r="A229" s="39" t="n">
        <x:f>RANK.EQ(C229,$C$4:$C$273,0)</x:f>
        <x:v>226</x:v>
      </x:c>
      <x:c r="B229" s="40" t="str">
        <x:v>ziorni</x:v>
      </x:c>
      <x:c r="C229" s="41" t="n">
        <x:f>SUMIF('Categorias'!$E$4:$E$1347,B229,'Categorias'!$G$4:$G$1347)</x:f>
        <x:v>0.6456846839285296</x:v>
      </x:c>
      <x:c r="D229" s="42" t="str">
        <x:v>Guild Challenge</x:v>
      </x:c>
    </x:row>
    <x:row r="230">
      <x:c r="A230" s="39" t="n">
        <x:f>RANK.EQ(C230,$C$4:$C$273,0)</x:f>
        <x:v>227</x:v>
      </x:c>
      <x:c r="B230" s="40" t="str">
        <x:v>Kaduuuuu</x:v>
      </x:c>
      <x:c r="C230" s="41" t="n">
        <x:f>SUMIF('Categorias'!$E$4:$E$1347,B230,'Categorias'!$G$4:$G$1347)</x:f>
        <x:v>0.5170953435596676</x:v>
      </x:c>
      <x:c r="D230" s="42" t="str">
        <x:v>Tesouros Black</x:v>
      </x:c>
    </x:row>
    <x:row r="231">
      <x:c r="A231" s="39" t="n">
        <x:f>RANK.EQ(C231,$C$4:$C$273,0)</x:f>
        <x:v>228</x:v>
      </x:c>
      <x:c r="B231" s="40" t="str">
        <x:v>kingjolas</x:v>
      </x:c>
      <x:c r="C231" s="41" t="n">
        <x:f>SUMIF('Categorias'!$E$4:$E$1347,B231,'Categorias'!$G$4:$G$1347)</x:f>
        <x:v>0.38475068619112013</x:v>
      </x:c>
      <x:c r="D231" s="42" t="str">
        <x:v>Guild Challenge</x:v>
      </x:c>
    </x:row>
    <x:row r="232">
      <x:c r="A232" s="39" t="n">
        <x:f>RANK.EQ(C232,$C$4:$C$273,0)</x:f>
        <x:v>229</x:v>
      </x:c>
      <x:c r="B232" s="40" t="str">
        <x:v>OldEleven11</x:v>
      </x:c>
      <x:c r="C232" s="41" t="n">
        <x:f>SUMIF('Categorias'!$E$4:$E$1347,B232,'Categorias'!$G$4:$G$1347)</x:f>
        <x:v>0.3648400598577435</x:v>
      </x:c>
      <x:c r="D232" s="42" t="str">
        <x:v>Guild Challenge</x:v>
      </x:c>
    </x:row>
    <x:row r="233">
      <x:c r="A233" s="39" t="n">
        <x:f>RANK.EQ(C233,$C$4:$C$273,0)</x:f>
        <x:v>230</x:v>
      </x:c>
      <x:c r="B233" s="40" t="str">
        <x:v>BotaAcara</x:v>
      </x:c>
      <x:c r="C233" s="41" t="n">
        <x:f>SUMIF('Categorias'!$E$4:$E$1347,B233,'Categorias'!$G$4:$G$1347)</x:f>
        <x:v>0.3581465231373648</x:v>
      </x:c>
      <x:c r="D233" s="42" t="str">
        <x:v>Tesouros Black</x:v>
      </x:c>
    </x:row>
    <x:row r="234">
      <x:c r="A234" s="39" t="n">
        <x:f>RANK.EQ(C234,$C$4:$C$273,0)</x:f>
        <x:v>231</x:v>
      </x:c>
      <x:c r="B234" s="40" t="str">
        <x:v>NicoleHellmann</x:v>
      </x:c>
      <x:c r="C234" s="41" t="n">
        <x:f>SUMIF('Categorias'!$E$4:$E$1347,B234,'Categorias'!$G$4:$G$1347)</x:f>
        <x:v>0.34638041034218375</x:v>
      </x:c>
      <x:c r="D234" s="42" t="str">
        <x:v>Guild Challenge</x:v>
      </x:c>
    </x:row>
    <x:row r="235">
      <x:c r="A235" s="39" t="n">
        <x:f>RANK.EQ(C235,$C$4:$C$273,0)</x:f>
        <x:v>232</x:v>
      </x:c>
      <x:c r="B235" s="40" t="str">
        <x:v>Blackflare</x:v>
      </x:c>
      <x:c r="C235" s="41" t="n">
        <x:f>SUMIF('Categorias'!$E$4:$E$1347,B235,'Categorias'!$G$4:$G$1347)</x:f>
        <x:v>0.30647854785221845</x:v>
      </x:c>
      <x:c r="D235" s="42" t="str">
        <x:v>Guild Challenge</x:v>
      </x:c>
    </x:row>
    <x:row r="236">
      <x:c r="A236" s="39" t="n">
        <x:f>RANK.EQ(C236,$C$4:$C$273,0)</x:f>
        <x:v>233</x:v>
      </x:c>
      <x:c r="B236" s="40" t="str">
        <x:v>Lusitano</x:v>
      </x:c>
      <x:c r="C236" s="41" t="n">
        <x:f>SUMIF('Categorias'!$E$4:$E$1347,B236,'Categorias'!$G$4:$G$1347)</x:f>
        <x:v>0.2720581533406726</x:v>
      </x:c>
      <x:c r="D236" s="42" t="str">
        <x:v>Guild Challenge</x:v>
      </x:c>
    </x:row>
    <x:row r="237">
      <x:c r="A237" s="39" t="n">
        <x:f>RANK.EQ(C237,$C$4:$C$273,0)</x:f>
        <x:v>234</x:v>
      </x:c>
      <x:c r="B237" s="40" t="str">
        <x:v>garotadeprograma</x:v>
      </x:c>
      <x:c r="C237" s="41" t="n">
        <x:f>SUMIF('Categorias'!$E$4:$E$1347,B237,'Categorias'!$G$4:$G$1347)</x:f>
        <x:v>0.2577096048089275</x:v>
      </x:c>
      <x:c r="D237" s="42" t="str">
        <x:v>Guild Challenge</x:v>
      </x:c>
    </x:row>
    <x:row r="238">
      <x:c r="A238" s="39" t="n">
        <x:f>RANK.EQ(C238,$C$4:$C$273,0)</x:f>
        <x:v>235</x:v>
      </x:c>
      <x:c r="B238" s="40" t="str">
        <x:v>MRyeezy007</x:v>
      </x:c>
      <x:c r="C238" s="41" t="n">
        <x:f>SUMIF('Categorias'!$E$4:$E$1347,B238,'Categorias'!$G$4:$G$1347)</x:f>
        <x:v>0.25156402454865656</x:v>
      </x:c>
      <x:c r="D238" s="42" t="str">
        <x:v>Guild Challenge</x:v>
      </x:c>
    </x:row>
    <x:row r="239">
      <x:c r="A239" s="39" t="n">
        <x:f>RANK.EQ(C239,$C$4:$C$273,0)</x:f>
        <x:v>236</x:v>
      </x:c>
      <x:c r="B239" s="40" t="str">
        <x:v>nnnnnpox</x:v>
      </x:c>
      <x:c r="C239" s="41" t="n">
        <x:f>SUMIF('Categorias'!$E$4:$E$1347,B239,'Categorias'!$G$4:$G$1347)</x:f>
        <x:v>0.21603432620829707</x:v>
      </x:c>
      <x:c r="D239" s="42" t="str">
        <x:v>Guild Challenge</x:v>
      </x:c>
    </x:row>
    <x:row r="240">
      <x:c r="A240" s="39" t="n">
        <x:f>RANK.EQ(C240,$C$4:$C$273,0)</x:f>
        <x:v>237</x:v>
      </x:c>
      <x:c r="B240" s="40" t="str">
        <x:v>SainorViking</x:v>
      </x:c>
      <x:c r="C240" s="41" t="n">
        <x:f>SUMIF('Categorias'!$E$4:$E$1347,B240,'Categorias'!$G$4:$G$1347)</x:f>
        <x:v>0.17500992197580034</x:v>
      </x:c>
      <x:c r="D240" s="42" t="str">
        <x:v>Guild Challenge</x:v>
      </x:c>
    </x:row>
    <x:row r="241">
      <x:c r="A241" s="39" t="n">
        <x:f>RANK.EQ(C241,$C$4:$C$273,0)</x:f>
        <x:v>238</x:v>
      </x:c>
      <x:c r="B241" s="40" t="str">
        <x:v>RAPARIG4</x:v>
      </x:c>
      <x:c r="C241" s="41" t="n">
        <x:f>SUMIF('Categorias'!$E$4:$E$1347,B241,'Categorias'!$G$4:$G$1347)</x:f>
        <x:v>0.17411721813803047</x:v>
      </x:c>
      <x:c r="D241" s="42" t="str">
        <x:v>Guild Challenge</x:v>
      </x:c>
    </x:row>
    <x:row r="242">
      <x:c r="A242" s="39" t="n">
        <x:f>RANK.EQ(C242,$C$4:$C$273,0)</x:f>
        <x:v>239</x:v>
      </x:c>
      <x:c r="B242" s="40" t="str">
        <x:v>ArmandoTeles</x:v>
      </x:c>
      <x:c r="C242" s="41" t="n">
        <x:f>SUMIF('Categorias'!$E$4:$E$1347,B242,'Categorias'!$G$4:$G$1347)</x:f>
        <x:v>0.16108223795358678</x:v>
      </x:c>
      <x:c r="D242" s="42" t="str">
        <x:v>Guild Challenge</x:v>
      </x:c>
    </x:row>
    <x:row r="243">
      <x:c r="A243" s="39" t="n">
        <x:f>RANK.EQ(C243,$C$4:$C$273,0)</x:f>
        <x:v>240</x:v>
      </x:c>
      <x:c r="B243" s="40" t="str">
        <x:v>J061H</x:v>
      </x:c>
      <x:c r="C243" s="41" t="n">
        <x:f>SUMIF('Categorias'!$E$4:$E$1347,B243,'Categorias'!$G$4:$G$1347)</x:f>
        <x:v>0.1437273147870872</x:v>
      </x:c>
      <x:c r="D243" s="42" t="str">
        <x:v>Guild Challenge</x:v>
      </x:c>
    </x:row>
    <x:row r="244">
      <x:c r="A244" s="39" t="n">
        <x:f>RANK.EQ(C244,$C$4:$C$273,0)</x:f>
        <x:v>241</x:v>
      </x:c>
      <x:c r="B244" s="40" t="str">
        <x:v>Soamaldioado</x:v>
      </x:c>
      <x:c r="C244" s="41" t="n">
        <x:f>SUMIF('Categorias'!$E$4:$E$1347,B244,'Categorias'!$G$4:$G$1347)</x:f>
        <x:v>0.1389766218486716</x:v>
      </x:c>
      <x:c r="D244" s="42" t="str">
        <x:v>Guild Challenge</x:v>
      </x:c>
    </x:row>
    <x:row r="245">
      <x:c r="A245" s="39" t="n">
        <x:f>RANK.EQ(C245,$C$4:$C$273,0)</x:f>
        <x:v>242</x:v>
      </x:c>
      <x:c r="B245" s="40" t="str">
        <x:v>BufasPT</x:v>
      </x:c>
      <x:c r="C245" s="41" t="n">
        <x:f>SUMIF('Categorias'!$E$4:$E$1347,B245,'Categorias'!$G$4:$G$1347)</x:f>
        <x:v>0.11898009906098748</x:v>
      </x:c>
      <x:c r="D245" s="42" t="str">
        <x:v>Guild Challenge</x:v>
      </x:c>
    </x:row>
    <x:row r="246">
      <x:c r="A246" s="39" t="n">
        <x:f>RANK.EQ(C246,$C$4:$C$273,0)</x:f>
        <x:v>243</x:v>
      </x:c>
      <x:c r="B246" s="40" t="str">
        <x:v>DeadlySnake</x:v>
      </x:c>
      <x:c r="C246" s="41" t="n">
        <x:f>SUMIF('Categorias'!$E$4:$E$1347,B246,'Categorias'!$G$4:$G$1347)</x:f>
        <x:v>0.11374046055220416</x:v>
      </x:c>
      <x:c r="D246" s="42" t="str">
        <x:v>Guild Challenge</x:v>
      </x:c>
    </x:row>
    <x:row r="247">
      <x:c r="A247" s="39" t="n">
        <x:f>RANK.EQ(C247,$C$4:$C$273,0)</x:f>
        <x:v>244</x:v>
      </x:c>
      <x:c r="B247" s="40" t="str">
        <x:v>ElizabethR</x:v>
      </x:c>
      <x:c r="C247" s="41" t="n">
        <x:f>SUMIF('Categorias'!$E$4:$E$1347,B247,'Categorias'!$G$4:$G$1347)</x:f>
        <x:v>0.020071845979800735</x:v>
      </x:c>
      <x:c r="D247" s="42" t="str">
        <x:v>Guild Challenge</x:v>
      </x:c>
    </x:row>
    <x:row r="248">
      <x:c r="A248" s="39" t="n">
        <x:f>RANK.EQ(C248,$C$4:$C$273,0)</x:f>
        <x:v>245</x:v>
      </x:c>
      <x:c r="B248" s="40" t="str">
        <x:v>tokaszi</x:v>
      </x:c>
      <x:c r="C248" s="41" t="n">
        <x:f>SUMIF('Categorias'!$E$4:$E$1347,B248,'Categorias'!$G$4:$G$1347)</x:f>
        <x:v>0.01725050216737894</x:v>
      </x:c>
      <x:c r="D248" s="42" t="str">
        <x:v>Guild Challenge</x:v>
      </x:c>
    </x:row>
    <x:row r="249">
      <x:c r="A249" s="39" t="n">
        <x:f>RANK.EQ(C249,$C$4:$C$273,0)</x:f>
        <x:v>246</x:v>
      </x:c>
      <x:c r="B249" s="40" t="str">
        <x:v>Hitsukan</x:v>
      </x:c>
      <x:c r="C249" s="41" t="n">
        <x:f>SUMIF('Categorias'!$E$4:$E$1347,B249,'Categorias'!$G$4:$G$1347)</x:f>
        <x:v>0.0024182946963615345</x:v>
      </x:c>
      <x:c r="D249" s="42" t="str">
        <x:v>Guild Challenge</x:v>
      </x:c>
    </x:row>
    <x:row r="250">
      <x:c r="A250" s="39" t="n">
        <x:f>RANK.EQ(C250,$C$4:$C$273,0)</x:f>
        <x:v>247</x:v>
      </x:c>
      <x:c r="B250" s="40" t="str">
        <x:v>Avelha</x:v>
      </x:c>
      <x:c r="C250" s="41" t="n">
        <x:f>SUMIF('Categorias'!$E$4:$E$1347,B250,'Categorias'!$G$4:$G$1347)</x:f>
        <x:v>0</x:v>
      </x:c>
      <x:c r="D250" s="42" t="str">
        <x:v>Guild Challenge</x:v>
      </x:c>
    </x:row>
    <x:row r="251">
      <x:c r="A251" s="39" t="n">
        <x:f>RANK.EQ(C251,$C$4:$C$273,0)</x:f>
        <x:v>247</x:v>
      </x:c>
      <x:c r="B251" s="40" t="str">
        <x:v>BuchaCaller</x:v>
      </x:c>
      <x:c r="C251" s="41" t="n">
        <x:f>SUMIF('Categorias'!$E$4:$E$1347,B251,'Categorias'!$G$4:$G$1347)</x:f>
        <x:v>0</x:v>
      </x:c>
      <x:c r="D251" s="42" t="str">
        <x:v>Guild Challenge</x:v>
      </x:c>
    </x:row>
    <x:row r="252">
      <x:c r="A252" s="39" t="n">
        <x:f>RANK.EQ(C252,$C$4:$C$273,0)</x:f>
        <x:v>247</x:v>
      </x:c>
      <x:c r="B252" s="40" t="str">
        <x:v>CARLGALAGHER</x:v>
      </x:c>
      <x:c r="C252" s="41" t="n">
        <x:f>SUMIF('Categorias'!$E$4:$E$1347,B252,'Categorias'!$G$4:$G$1347)</x:f>
        <x:v>0</x:v>
      </x:c>
      <x:c r="D252" s="42" t="str">
        <x:v>Guild Challenge</x:v>
      </x:c>
    </x:row>
    <x:row r="253">
      <x:c r="A253" s="39" t="n">
        <x:f>RANK.EQ(C253,$C$4:$C$273,0)</x:f>
        <x:v>247</x:v>
      </x:c>
      <x:c r="B253" s="40" t="str">
        <x:v>Caxa01</x:v>
      </x:c>
      <x:c r="C253" s="41" t="n">
        <x:f>SUMIF('Categorias'!$E$4:$E$1347,B253,'Categorias'!$G$4:$G$1347)</x:f>
        <x:v>0</x:v>
      </x:c>
      <x:c r="D253" s="42" t="str">
        <x:v>Guild Challenge</x:v>
      </x:c>
    </x:row>
    <x:row r="254">
      <x:c r="A254" s="39" t="n">
        <x:f>RANK.EQ(C254,$C$4:$C$273,0)</x:f>
        <x:v>247</x:v>
      </x:c>
      <x:c r="B254" s="40" t="str">
        <x:v>HematomaBr</x:v>
      </x:c>
      <x:c r="C254" s="41" t="n">
        <x:f>SUMIF('Categorias'!$E$4:$E$1347,B254,'Categorias'!$G$4:$G$1347)</x:f>
        <x:v>0</x:v>
      </x:c>
      <x:c r="D254" s="42" t="str">
        <x:v>Guild Challenge</x:v>
      </x:c>
    </x:row>
    <x:row r="255">
      <x:c r="A255" s="39" t="n">
        <x:f>RANK.EQ(C255,$C$4:$C$273,0)</x:f>
        <x:v>247</x:v>
      </x:c>
      <x:c r="B255" s="40" t="str">
        <x:v>Hlinha2</x:v>
      </x:c>
      <x:c r="C255" s="41" t="n">
        <x:f>SUMIF('Categorias'!$E$4:$E$1347,B255,'Categorias'!$G$4:$G$1347)</x:f>
        <x:v>0</x:v>
      </x:c>
      <x:c r="D255" s="42" t="str">
        <x:v>Guild Challenge</x:v>
      </x:c>
    </x:row>
    <x:row r="256">
      <x:c r="A256" s="39" t="n">
        <x:f>RANK.EQ(C256,$C$4:$C$273,0)</x:f>
        <x:v>247</x:v>
      </x:c>
      <x:c r="B256" s="40" t="str">
        <x:v>HromeuPint0</x:v>
      </x:c>
      <x:c r="C256" s="41" t="n">
        <x:f>SUMIF('Categorias'!$E$4:$E$1347,B256,'Categorias'!$G$4:$G$1347)</x:f>
        <x:v>0</x:v>
      </x:c>
      <x:c r="D256" s="42" t="str">
        <x:v>Guild Challenge</x:v>
      </x:c>
    </x:row>
    <x:row r="257">
      <x:c r="A257" s="39" t="n">
        <x:f>RANK.EQ(C257,$C$4:$C$273,0)</x:f>
        <x:v>247</x:v>
      </x:c>
      <x:c r="B257" s="40" t="str">
        <x:v>Itryit</x:v>
      </x:c>
      <x:c r="C257" s="41" t="n">
        <x:f>SUMIF('Categorias'!$E$4:$E$1347,B257,'Categorias'!$G$4:$G$1347)</x:f>
        <x:v>0</x:v>
      </x:c>
      <x:c r="D257" s="42" t="str">
        <x:v>Guild Challenge</x:v>
      </x:c>
    </x:row>
    <x:row r="258">
      <x:c r="A258" s="39" t="n">
        <x:f>RANK.EQ(C258,$C$4:$C$273,0)</x:f>
        <x:v>247</x:v>
      </x:c>
      <x:c r="B258" s="40" t="str">
        <x:v>Leygrin</x:v>
      </x:c>
      <x:c r="C258" s="41" t="n">
        <x:f>SUMIF('Categorias'!$E$4:$E$1347,B258,'Categorias'!$G$4:$G$1347)</x:f>
        <x:v>0</x:v>
      </x:c>
      <x:c r="D258" s="42" t="str">
        <x:v>Guild Challenge</x:v>
      </x:c>
    </x:row>
    <x:row r="259">
      <x:c r="A259" s="39" t="n">
        <x:f>RANK.EQ(C259,$C$4:$C$273,0)</x:f>
        <x:v>247</x:v>
      </x:c>
      <x:c r="B259" s="40" t="str">
        <x:v>MoneyMaker555</x:v>
      </x:c>
      <x:c r="C259" s="41" t="n">
        <x:f>SUMIF('Categorias'!$E$4:$E$1347,B259,'Categorias'!$G$4:$G$1347)</x:f>
        <x:v>0</x:v>
      </x:c>
      <x:c r="D259" s="42" t="str">
        <x:v>Guild Challenge</x:v>
      </x:c>
    </x:row>
    <x:row r="260">
      <x:c r="A260" s="39" t="n">
        <x:f>RANK.EQ(C260,$C$4:$C$273,0)</x:f>
        <x:v>247</x:v>
      </x:c>
      <x:c r="B260" s="40" t="str">
        <x:v>muller001122</x:v>
      </x:c>
      <x:c r="C260" s="41" t="n">
        <x:f>SUMIF('Categorias'!$E$4:$E$1347,B260,'Categorias'!$G$4:$G$1347)</x:f>
        <x:v>0</x:v>
      </x:c>
      <x:c r="D260" s="42" t="str">
        <x:v>Guild Challenge</x:v>
      </x:c>
    </x:row>
    <x:row r="261">
      <x:c r="A261" s="39" t="n">
        <x:f>RANK.EQ(C261,$C$4:$C$273,0)</x:f>
        <x:v>247</x:v>
      </x:c>
      <x:c r="B261" s="40" t="str">
        <x:v>noob0102</x:v>
      </x:c>
      <x:c r="C261" s="41" t="n">
        <x:f>SUMIF('Categorias'!$E$4:$E$1347,B261,'Categorias'!$G$4:$G$1347)</x:f>
        <x:v>0</x:v>
      </x:c>
      <x:c r="D261" s="42" t="str">
        <x:v>Guild Challenge</x:v>
      </x:c>
    </x:row>
    <x:row r="262">
      <x:c r="A262" s="39" t="n">
        <x:f>RANK.EQ(C262,$C$4:$C$273,0)</x:f>
        <x:v>247</x:v>
      </x:c>
      <x:c r="B262" s="40" t="str">
        <x:v>NOTAGBusiness</x:v>
      </x:c>
      <x:c r="C262" s="41" t="n">
        <x:f>SUMIF('Categorias'!$E$4:$E$1347,B262,'Categorias'!$G$4:$G$1347)</x:f>
        <x:v>0</x:v>
      </x:c>
      <x:c r="D262" s="42" t="str">
        <x:v>Guild Challenge</x:v>
      </x:c>
    </x:row>
    <x:row r="263">
      <x:c r="A263" s="39" t="n">
        <x:f>RANK.EQ(C263,$C$4:$C$273,0)</x:f>
        <x:v>247</x:v>
      </x:c>
      <x:c r="B263" s="40" t="str">
        <x:v>OReiDoGado</x:v>
      </x:c>
      <x:c r="C263" s="41" t="n">
        <x:f>SUMIF('Categorias'!$E$4:$E$1347,B263,'Categorias'!$G$4:$G$1347)</x:f>
        <x:v>0</x:v>
      </x:c>
      <x:c r="D263" s="42" t="str">
        <x:v>Guild Challenge</x:v>
      </x:c>
    </x:row>
    <x:row r="264">
      <x:c r="A264" s="39" t="n">
        <x:f>RANK.EQ(C264,$C$4:$C$273,0)</x:f>
        <x:v>247</x:v>
      </x:c>
      <x:c r="B264" s="40" t="str">
        <x:v>ORKuT</x:v>
      </x:c>
      <x:c r="C264" s="41" t="n">
        <x:f>SUMIF('Categorias'!$E$4:$E$1347,B264,'Categorias'!$G$4:$G$1347)</x:f>
        <x:v>0</x:v>
      </x:c>
      <x:c r="D264" s="42" t="str">
        <x:v>Guild Challenge</x:v>
      </x:c>
    </x:row>
    <x:row r="265">
      <x:c r="A265" s="39" t="n">
        <x:f>RANK.EQ(C265,$C$4:$C$273,0)</x:f>
        <x:v>247</x:v>
      </x:c>
      <x:c r="B265" s="40" t="str">
        <x:v>Phomi</x:v>
      </x:c>
      <x:c r="C265" s="41" t="n">
        <x:f>SUMIF('Categorias'!$E$4:$E$1347,B265,'Categorias'!$G$4:$G$1347)</x:f>
        <x:v>0</x:v>
      </x:c>
      <x:c r="D265" s="42" t="str">
        <x:v>Guild Challenge</x:v>
      </x:c>
    </x:row>
    <x:row r="266">
      <x:c r="A266" s="39" t="n">
        <x:f>RANK.EQ(C266,$C$4:$C$273,0)</x:f>
        <x:v>247</x:v>
      </x:c>
      <x:c r="B266" s="40" t="str">
        <x:v>ReiDsn</x:v>
      </x:c>
      <x:c r="C266" s="41" t="n">
        <x:f>SUMIF('Categorias'!$E$4:$E$1347,B266,'Categorias'!$G$4:$G$1347)</x:f>
        <x:v>0</x:v>
      </x:c>
      <x:c r="D266" s="42" t="str">
        <x:v>Guild Challenge</x:v>
      </x:c>
    </x:row>
    <x:row r="267">
      <x:c r="A267" s="39" t="n">
        <x:f>RANK.EQ(C267,$C$4:$C$273,0)</x:f>
        <x:v>247</x:v>
      </x:c>
      <x:c r="B267" s="40" t="str">
        <x:v>ShobbyYeti</x:v>
      </x:c>
      <x:c r="C267" s="41" t="n">
        <x:f>SUMIF('Categorias'!$E$4:$E$1347,B267,'Categorias'!$G$4:$G$1347)</x:f>
        <x:v>0</x:v>
      </x:c>
      <x:c r="D267" s="42" t="str">
        <x:v>Guild Challenge</x:v>
      </x:c>
    </x:row>
    <x:row r="268">
      <x:c r="A268" s="39" t="n">
        <x:f>RANK.EQ(C268,$C$4:$C$273,0)</x:f>
        <x:v>247</x:v>
      </x:c>
      <x:c r="B268" s="40" t="str">
        <x:v>St4ayawayfromme</x:v>
      </x:c>
      <x:c r="C268" s="41" t="n">
        <x:f>SUMIF('Categorias'!$E$4:$E$1347,B268,'Categorias'!$G$4:$G$1347)</x:f>
        <x:v>0</x:v>
      </x:c>
      <x:c r="D268" s="42" t="str">
        <x:v>Guild Challenge</x:v>
      </x:c>
    </x:row>
    <x:row r="269">
      <x:c r="A269" s="39" t="n">
        <x:f>RANK.EQ(C269,$C$4:$C$273,0)</x:f>
        <x:v>247</x:v>
      </x:c>
      <x:c r="B269" s="40" t="str">
        <x:v>SucoDeFruta</x:v>
      </x:c>
      <x:c r="C269" s="41" t="n">
        <x:f>SUMIF('Categorias'!$E$4:$E$1347,B269,'Categorias'!$G$4:$G$1347)</x:f>
        <x:v>0</x:v>
      </x:c>
      <x:c r="D269" s="42" t="str">
        <x:v>Guild Challenge</x:v>
      </x:c>
    </x:row>
    <x:row r="270">
      <x:c r="A270" s="39" t="n">
        <x:f>RANK.EQ(C270,$C$4:$C$273,0)</x:f>
        <x:v>247</x:v>
      </x:c>
      <x:c r="B270" s="40" t="str">
        <x:v>TheOneSinx</x:v>
      </x:c>
      <x:c r="C270" s="41" t="n">
        <x:f>SUMIF('Categorias'!$E$4:$E$1347,B270,'Categorias'!$G$4:$G$1347)</x:f>
        <x:v>0</x:v>
      </x:c>
      <x:c r="D270" s="42" t="str">
        <x:v>Guild Challenge</x:v>
      </x:c>
    </x:row>
    <x:row r="271">
      <x:c r="A271" s="39" t="n">
        <x:f>RANK.EQ(C271,$C$4:$C$273,0)</x:f>
        <x:v>247</x:v>
      </x:c>
      <x:c r="B271" s="40" t="str">
        <x:v>tistaoo</x:v>
      </x:c>
      <x:c r="C271" s="41" t="n">
        <x:f>SUMIF('Categorias'!$E$4:$E$1347,B271,'Categorias'!$G$4:$G$1347)</x:f>
        <x:v>0</x:v>
      </x:c>
      <x:c r="D271" s="42" t="str">
        <x:v>Guild Challenge</x:v>
      </x:c>
    </x:row>
    <x:row r="272">
      <x:c r="A272" s="39" t="n">
        <x:f>RANK.EQ(C272,$C$4:$C$273,0)</x:f>
        <x:v>247</x:v>
      </x:c>
      <x:c r="B272" s="40" t="str">
        <x:v>UCKRAPT</x:v>
      </x:c>
      <x:c r="C272" s="41" t="n">
        <x:f>SUMIF('Categorias'!$E$4:$E$1347,B272,'Categorias'!$G$4:$G$1347)</x:f>
        <x:v>0</x:v>
      </x:c>
      <x:c r="D272" s="42" t="str">
        <x:v>Guild Challenge</x:v>
      </x:c>
    </x:row>
    <x:row r="273">
      <x:c r="A273" s="43" t="n">
        <x:f>RANK.EQ(C273,$C$4:$C$273,0)</x:f>
        <x:v>247</x:v>
      </x:c>
      <x:c r="B273" s="44" t="str">
        <x:v>user01Ouser</x:v>
      </x:c>
      <x:c r="C273" s="45" t="n">
        <x:f>SUMIF('Categorias'!$E$4:$E$1347,B273,'Categorias'!$G$4:$G$1347)</x:f>
        <x:v>0</x:v>
      </x:c>
      <x:c r="D273" s="46" t="str">
        <x:v>Guild Challenge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3" t="str">
        <x:v>Pontos brutos por jogador e categoria</x:v>
      </x:c>
      <x:c r="B1" s="3" t="str">
        <x:v>Pontos brutos por jogador e categoria</x:v>
      </x:c>
      <x:c r="C1" s="3" t="str">
        <x:v>Pontos brutos por jogador e categoria</x:v>
      </x:c>
      <x:c r="D1" s="3" t="str">
        <x:v>Pontos brutos por jogador e categoria</x:v>
      </x:c>
      <x:c r="E1" s="3" t="str">
        <x:v>Pontos brutos por jogador e categoria</x:v>
      </x:c>
      <x:c r="F1" s="3" t="str">
        <x:v>Pontos brutos por jogador e categoria</x:v>
      </x:c>
      <x:c r="G1" s="3" t="str">
        <x:v>Pontos brutos por jogador e categoria</x:v>
      </x:c>
      <x:c r="H1" s="3" t="str">
        <x:v>Pontos brutos por jogador e categoria</x:v>
      </x:c>
      <x:c r="I1" s="3" t="str">
        <x:v>Pontos brutos por jogador e categoria</x:v>
      </x:c>
      <x:c r="J1" s="3" t="str">
        <x:v>Pontos brutos por jogador e categoria</x:v>
      </x:c>
      <x:c r="K1" s="3" t="str">
        <x:v>Pontos brutos por jogador e categoria</x:v>
      </x:c>
      <x:c r="L1" s="3" t="str">
        <x:v>Pontos brutos por jogador e categoria</x:v>
      </x:c>
      <x:c r="M1" s="3" t="str">
        <x:v>Pontos brutos por jogador e categoria</x:v>
      </x:c>
      <x:c r="N1" s="3" t="str">
        <x:v>Pontos brutos por jogador e categoria</x:v>
      </x:c>
    </x:row>
    <x:row r="3" ht="26" customHeight="1">
      <x:c r="A3" s="24" t="str">
        <x:v>Rank bruto</x:v>
      </x:c>
      <x:c r="B3" s="25" t="str">
        <x:v>Jogador</x:v>
      </x:c>
      <x:c r="C3" s="25" t="str">
        <x:v>Total bruto</x:v>
      </x:c>
      <x:c r="D3" s="25" t="str">
        <x:v>Guild Challenge</x:v>
      </x:c>
      <x:c r="E3" s="25" t="str">
        <x:v>PvE Black</x:v>
      </x:c>
      <x:c r="F3" s="25" t="str">
        <x:v>Coleta Black</x:v>
      </x:c>
      <x:c r="G3" s="25" t="str">
        <x:v>Power Cores</x:v>
      </x:c>
      <x:c r="H3" s="25" t="str">
        <x:v>Tesouros Black</x:v>
      </x:c>
      <x:c r="I3" s="25" t="str">
        <x:v>Keeper Uprising</x:v>
      </x:c>
      <x:c r="J3" s="25" t="str">
        <x:v>Contrabandistas</x:v>
      </x:c>
      <x:c r="K3" s="25" t="str">
        <x:v>Hellgates</x:v>
      </x:c>
      <x:c r="L3" s="25" t="str">
        <x:v>Profundezas</x:v>
      </x:c>
      <x:c r="M3" s="25" t="str">
        <x:v>Corrompidas</x:v>
      </x:c>
      <x:c r="N3" s="26" t="str">
        <x:v>Castelos e Outposts</x:v>
      </x:c>
    </x:row>
    <x:row r="4">
      <x:c r="A4" s="39" t="n">
        <x:f>RANK.EQ(C4,$C$4:$C$273,0)</x:f>
        <x:v>1</x:v>
      </x:c>
      <x:c r="B4" s="40" t="str">
        <x:v>jrfate</x:v>
      </x:c>
      <x:c r="C4" s="28" t="n">
        <x:f>SUMIF('Categorias'!$E$4:$E$1347,B4,'Categorias'!$F$4:$F$1347)</x:f>
        <x:v>21370867</x:v>
      </x:c>
      <x:c r="D4" s="28" t="n">
        <x:f>SUMIFS('Categorias'!$F$4:$F$1347,'Categorias'!$E$4:$E$1347,B4,'Categorias'!$A$4:$A$1347,D$3)</x:f>
        <x:v>17122000</x:v>
      </x:c>
      <x:c r="E4" s="28" t="n">
        <x:f>SUMIFS('Categorias'!$F$4:$F$1347,'Categorias'!$E$4:$E$1347,B4,'Categorias'!$A$4:$A$1347,E$3)</x:f>
        <x:v>4062163</x:v>
      </x:c>
      <x:c r="F4" s="28" t="n">
        <x:f>SUMIFS('Categorias'!$F$4:$F$1347,'Categorias'!$E$4:$E$1347,B4,'Categorias'!$A$4:$A$1347,F$3)</x:f>
        <x:v>3468</x:v>
      </x:c>
      <x:c r="G4" s="28" t="n">
        <x:f>SUMIFS('Categorias'!$F$4:$F$1347,'Categorias'!$E$4:$E$1347,B4,'Categorias'!$A$4:$A$1347,G$3)</x:f>
        <x:v>46273</x:v>
      </x:c>
      <x:c r="H4" s="28" t="n">
        <x:f>SUMIFS('Categorias'!$F$4:$F$1347,'Categorias'!$E$4:$E$1347,B4,'Categorias'!$A$4:$A$1347,H$3)</x:f>
        <x:v>17338</x:v>
      </x:c>
      <x:c r="I4" s="28" t="n">
        <x:f>SUMIFS('Categorias'!$F$4:$F$1347,'Categorias'!$E$4:$E$1347,B4,'Categorias'!$A$4:$A$1347,I$3)</x:f>
        <x:v>61111</x:v>
      </x:c>
      <x:c r="J4" s="28" t="n">
        <x:f>SUMIFS('Categorias'!$F$4:$F$1347,'Categorias'!$E$4:$E$1347,B4,'Categorias'!$A$4:$A$1347,J$3)</x:f>
        <x:v>17551</x:v>
      </x:c>
      <x:c r="K4" s="28" t="n">
        <x:f>SUMIFS('Categorias'!$F$4:$F$1347,'Categorias'!$E$4:$E$1347,B4,'Categorias'!$A$4:$A$1347,K$3)</x:f>
        <x:v>0</x:v>
      </x:c>
      <x:c r="L4" s="28" t="n">
        <x:f>SUMIFS('Categorias'!$F$4:$F$1347,'Categorias'!$E$4:$E$1347,B4,'Categorias'!$A$4:$A$1347,L$3)</x:f>
        <x:v>0</x:v>
      </x:c>
      <x:c r="M4" s="28" t="n">
        <x:f>SUMIFS('Categorias'!$F$4:$F$1347,'Categorias'!$E$4:$E$1347,B4,'Categorias'!$A$4:$A$1347,M$3)</x:f>
        <x:v>0</x:v>
      </x:c>
      <x:c r="N4" s="47" t="n">
        <x:f>SUMIFS('Categorias'!$F$4:$F$1347,'Categorias'!$E$4:$E$1347,B4,'Categorias'!$A$4:$A$1347,N$3)</x:f>
        <x:v>40963</x:v>
      </x:c>
    </x:row>
    <x:row r="5">
      <x:c r="A5" s="39" t="n">
        <x:f>RANK.EQ(C5,$C$4:$C$273,0)</x:f>
        <x:v>2</x:v>
      </x:c>
      <x:c r="B5" s="40" t="str">
        <x:v>Horsix</x:v>
      </x:c>
      <x:c r="C5" s="28" t="n">
        <x:f>SUMIF('Categorias'!$E$4:$E$1347,B5,'Categorias'!$F$4:$F$1347)</x:f>
        <x:v>18826149</x:v>
      </x:c>
      <x:c r="D5" s="28" t="n">
        <x:f>SUMIFS('Categorias'!$F$4:$F$1347,'Categorias'!$E$4:$E$1347,B5,'Categorias'!$A$4:$A$1347,D$3)</x:f>
        <x:v>15224000</x:v>
      </x:c>
      <x:c r="E5" s="28" t="n">
        <x:f>SUMIFS('Categorias'!$F$4:$F$1347,'Categorias'!$E$4:$E$1347,B5,'Categorias'!$A$4:$A$1347,E$3)</x:f>
        <x:v>3581099</x:v>
      </x:c>
      <x:c r="F5" s="28" t="n">
        <x:f>SUMIFS('Categorias'!$F$4:$F$1347,'Categorias'!$E$4:$E$1347,B5,'Categorias'!$A$4:$A$1347,F$3)</x:f>
        <x:v>0</x:v>
      </x:c>
      <x:c r="G5" s="28" t="n">
        <x:f>SUMIFS('Categorias'!$F$4:$F$1347,'Categorias'!$E$4:$E$1347,B5,'Categorias'!$A$4:$A$1347,G$3)</x:f>
        <x:v>0</x:v>
      </x:c>
      <x:c r="H5" s="28" t="n">
        <x:f>SUMIFS('Categorias'!$F$4:$F$1347,'Categorias'!$E$4:$E$1347,B5,'Categorias'!$A$4:$A$1347,H$3)</x:f>
        <x:v>1176</x:v>
      </x:c>
      <x:c r="I5" s="28" t="n">
        <x:f>SUMIFS('Categorias'!$F$4:$F$1347,'Categorias'!$E$4:$E$1347,B5,'Categorias'!$A$4:$A$1347,I$3)</x:f>
        <x:v>16018</x:v>
      </x:c>
      <x:c r="J5" s="28" t="n">
        <x:f>SUMIFS('Categorias'!$F$4:$F$1347,'Categorias'!$E$4:$E$1347,B5,'Categorias'!$A$4:$A$1347,J$3)</x:f>
        <x:v>1421</x:v>
      </x:c>
      <x:c r="K5" s="28" t="n">
        <x:f>SUMIFS('Categorias'!$F$4:$F$1347,'Categorias'!$E$4:$E$1347,B5,'Categorias'!$A$4:$A$1347,K$3)</x:f>
        <x:v>0</x:v>
      </x:c>
      <x:c r="L5" s="28" t="n">
        <x:f>SUMIFS('Categorias'!$F$4:$F$1347,'Categorias'!$E$4:$E$1347,B5,'Categorias'!$A$4:$A$1347,L$3)</x:f>
        <x:v>0</x:v>
      </x:c>
      <x:c r="M5" s="28" t="n">
        <x:f>SUMIFS('Categorias'!$F$4:$F$1347,'Categorias'!$E$4:$E$1347,B5,'Categorias'!$A$4:$A$1347,M$3)</x:f>
        <x:v>0</x:v>
      </x:c>
      <x:c r="N5" s="47" t="n">
        <x:f>SUMIFS('Categorias'!$F$4:$F$1347,'Categorias'!$E$4:$E$1347,B5,'Categorias'!$A$4:$A$1347,N$3)</x:f>
        <x:v>2435</x:v>
      </x:c>
    </x:row>
    <x:row r="6">
      <x:c r="A6" s="39" t="n">
        <x:f>RANK.EQ(C6,$C$4:$C$273,0)</x:f>
        <x:v>3</x:v>
      </x:c>
      <x:c r="B6" s="40" t="str">
        <x:v>TKZX</x:v>
      </x:c>
      <x:c r="C6" s="28" t="n">
        <x:f>SUMIF('Categorias'!$E$4:$E$1347,B6,'Categorias'!$F$4:$F$1347)</x:f>
        <x:v>16609295</x:v>
      </x:c>
      <x:c r="D6" s="28" t="n">
        <x:f>SUMIFS('Categorias'!$F$4:$F$1347,'Categorias'!$E$4:$E$1347,B6,'Categorias'!$A$4:$A$1347,D$3)</x:f>
        <x:v>12788000</x:v>
      </x:c>
      <x:c r="E6" s="28" t="n">
        <x:f>SUMIFS('Categorias'!$F$4:$F$1347,'Categorias'!$E$4:$E$1347,B6,'Categorias'!$A$4:$A$1347,E$3)</x:f>
        <x:v>2829998</x:v>
      </x:c>
      <x:c r="F6" s="28" t="n">
        <x:f>SUMIFS('Categorias'!$F$4:$F$1347,'Categorias'!$E$4:$E$1347,B6,'Categorias'!$A$4:$A$1347,F$3)</x:f>
        <x:v>58195</x:v>
      </x:c>
      <x:c r="G6" s="28" t="n">
        <x:f>SUMIFS('Categorias'!$F$4:$F$1347,'Categorias'!$E$4:$E$1347,B6,'Categorias'!$A$4:$A$1347,G$3)</x:f>
        <x:v>338945</x:v>
      </x:c>
      <x:c r="H6" s="28" t="n">
        <x:f>SUMIFS('Categorias'!$F$4:$F$1347,'Categorias'!$E$4:$E$1347,B6,'Categorias'!$A$4:$A$1347,H$3)</x:f>
        <x:v>148279</x:v>
      </x:c>
      <x:c r="I6" s="28" t="n">
        <x:f>SUMIFS('Categorias'!$F$4:$F$1347,'Categorias'!$E$4:$E$1347,B6,'Categorias'!$A$4:$A$1347,I$3)</x:f>
        <x:v>245471</x:v>
      </x:c>
      <x:c r="J6" s="28" t="n">
        <x:f>SUMIFS('Categorias'!$F$4:$F$1347,'Categorias'!$E$4:$E$1347,B6,'Categorias'!$A$4:$A$1347,J$3)</x:f>
        <x:v>81667</x:v>
      </x:c>
      <x:c r="K6" s="28" t="n">
        <x:f>SUMIFS('Categorias'!$F$4:$F$1347,'Categorias'!$E$4:$E$1347,B6,'Categorias'!$A$4:$A$1347,K$3)</x:f>
        <x:v>3107</x:v>
      </x:c>
      <x:c r="L6" s="28" t="n">
        <x:f>SUMIFS('Categorias'!$F$4:$F$1347,'Categorias'!$E$4:$E$1347,B6,'Categorias'!$A$4:$A$1347,L$3)</x:f>
        <x:v>4230</x:v>
      </x:c>
      <x:c r="M6" s="28" t="n">
        <x:f>SUMIFS('Categorias'!$F$4:$F$1347,'Categorias'!$E$4:$E$1347,B6,'Categorias'!$A$4:$A$1347,M$3)</x:f>
        <x:v>267</x:v>
      </x:c>
      <x:c r="N6" s="47" t="n">
        <x:f>SUMIFS('Categorias'!$F$4:$F$1347,'Categorias'!$E$4:$E$1347,B6,'Categorias'!$A$4:$A$1347,N$3)</x:f>
        <x:v>111136</x:v>
      </x:c>
    </x:row>
    <x:row r="7">
      <x:c r="A7" s="39" t="n">
        <x:f>RANK.EQ(C7,$C$4:$C$273,0)</x:f>
        <x:v>4</x:v>
      </x:c>
      <x:c r="B7" s="40" t="str">
        <x:v>Sabedoria7</x:v>
      </x:c>
      <x:c r="C7" s="28" t="n">
        <x:f>SUMIF('Categorias'!$E$4:$E$1347,B7,'Categorias'!$F$4:$F$1347)</x:f>
        <x:v>9777292</x:v>
      </x:c>
      <x:c r="D7" s="28" t="n">
        <x:f>SUMIFS('Categorias'!$F$4:$F$1347,'Categorias'!$E$4:$E$1347,B7,'Categorias'!$A$4:$A$1347,D$3)</x:f>
        <x:v>7693527</x:v>
      </x:c>
      <x:c r="E7" s="28" t="n">
        <x:f>SUMIFS('Categorias'!$F$4:$F$1347,'Categorias'!$E$4:$E$1347,B7,'Categorias'!$A$4:$A$1347,E$3)</x:f>
        <x:v>1505413</x:v>
      </x:c>
      <x:c r="F7" s="28" t="n">
        <x:f>SUMIFS('Categorias'!$F$4:$F$1347,'Categorias'!$E$4:$E$1347,B7,'Categorias'!$A$4:$A$1347,F$3)</x:f>
        <x:v>37759</x:v>
      </x:c>
      <x:c r="G7" s="28" t="n">
        <x:f>SUMIFS('Categorias'!$F$4:$F$1347,'Categorias'!$E$4:$E$1347,B7,'Categorias'!$A$4:$A$1347,G$3)</x:f>
        <x:v>216221</x:v>
      </x:c>
      <x:c r="H7" s="28" t="n">
        <x:f>SUMIFS('Categorias'!$F$4:$F$1347,'Categorias'!$E$4:$E$1347,B7,'Categorias'!$A$4:$A$1347,H$3)</x:f>
        <x:v>30580</x:v>
      </x:c>
      <x:c r="I7" s="28" t="n">
        <x:f>SUMIFS('Categorias'!$F$4:$F$1347,'Categorias'!$E$4:$E$1347,B7,'Categorias'!$A$4:$A$1347,I$3)</x:f>
        <x:v>220843</x:v>
      </x:c>
      <x:c r="J7" s="28" t="n">
        <x:f>SUMIFS('Categorias'!$F$4:$F$1347,'Categorias'!$E$4:$E$1347,B7,'Categorias'!$A$4:$A$1347,J$3)</x:f>
        <x:v>35684</x:v>
      </x:c>
      <x:c r="K7" s="28" t="n">
        <x:f>SUMIFS('Categorias'!$F$4:$F$1347,'Categorias'!$E$4:$E$1347,B7,'Categorias'!$A$4:$A$1347,K$3)</x:f>
        <x:v>0</x:v>
      </x:c>
      <x:c r="L7" s="28" t="n">
        <x:f>SUMIFS('Categorias'!$F$4:$F$1347,'Categorias'!$E$4:$E$1347,B7,'Categorias'!$A$4:$A$1347,L$3)</x:f>
        <x:v>19382</x:v>
      </x:c>
      <x:c r="M7" s="28" t="n">
        <x:f>SUMIFS('Categorias'!$F$4:$F$1347,'Categorias'!$E$4:$E$1347,B7,'Categorias'!$A$4:$A$1347,M$3)</x:f>
        <x:v>0</x:v>
      </x:c>
      <x:c r="N7" s="47" t="n">
        <x:f>SUMIFS('Categorias'!$F$4:$F$1347,'Categorias'!$E$4:$E$1347,B7,'Categorias'!$A$4:$A$1347,N$3)</x:f>
        <x:v>17883</x:v>
      </x:c>
    </x:row>
    <x:row r="8">
      <x:c r="A8" s="39" t="n">
        <x:f>RANK.EQ(C8,$C$4:$C$273,0)</x:f>
        <x:v>5</x:v>
      </x:c>
      <x:c r="B8" s="40" t="str">
        <x:v>imdonedontkillme</x:v>
      </x:c>
      <x:c r="C8" s="28" t="n">
        <x:f>SUMIF('Categorias'!$E$4:$E$1347,B8,'Categorias'!$F$4:$F$1347)</x:f>
        <x:v>7315315</x:v>
      </x:c>
      <x:c r="D8" s="28" t="n">
        <x:f>SUMIFS('Categorias'!$F$4:$F$1347,'Categorias'!$E$4:$E$1347,B8,'Categorias'!$A$4:$A$1347,D$3)</x:f>
        <x:v>5887500</x:v>
      </x:c>
      <x:c r="E8" s="28" t="n">
        <x:f>SUMIFS('Categorias'!$F$4:$F$1347,'Categorias'!$E$4:$E$1347,B8,'Categorias'!$A$4:$A$1347,E$3)</x:f>
        <x:v>1042382</x:v>
      </x:c>
      <x:c r="F8" s="28" t="n">
        <x:f>SUMIFS('Categorias'!$F$4:$F$1347,'Categorias'!$E$4:$E$1347,B8,'Categorias'!$A$4:$A$1347,F$3)</x:f>
        <x:v>36894</x:v>
      </x:c>
      <x:c r="G8" s="28" t="n">
        <x:f>SUMIFS('Categorias'!$F$4:$F$1347,'Categorias'!$E$4:$E$1347,B8,'Categorias'!$A$4:$A$1347,G$3)</x:f>
        <x:v>65369</x:v>
      </x:c>
      <x:c r="H8" s="28" t="n">
        <x:f>SUMIFS('Categorias'!$F$4:$F$1347,'Categorias'!$E$4:$E$1347,B8,'Categorias'!$A$4:$A$1347,H$3)</x:f>
        <x:v>65817</x:v>
      </x:c>
      <x:c r="I8" s="28" t="n">
        <x:f>SUMIFS('Categorias'!$F$4:$F$1347,'Categorias'!$E$4:$E$1347,B8,'Categorias'!$A$4:$A$1347,I$3)</x:f>
        <x:v>79701</x:v>
      </x:c>
      <x:c r="J8" s="28" t="n">
        <x:f>SUMIFS('Categorias'!$F$4:$F$1347,'Categorias'!$E$4:$E$1347,B8,'Categorias'!$A$4:$A$1347,J$3)</x:f>
        <x:v>76418</x:v>
      </x:c>
      <x:c r="K8" s="28" t="n">
        <x:f>SUMIFS('Categorias'!$F$4:$F$1347,'Categorias'!$E$4:$E$1347,B8,'Categorias'!$A$4:$A$1347,K$3)</x:f>
        <x:v>557</x:v>
      </x:c>
      <x:c r="L8" s="28" t="n">
        <x:f>SUMIFS('Categorias'!$F$4:$F$1347,'Categorias'!$E$4:$E$1347,B8,'Categorias'!$A$4:$A$1347,L$3)</x:f>
        <x:v>23408</x:v>
      </x:c>
      <x:c r="M8" s="28" t="n">
        <x:f>SUMIFS('Categorias'!$F$4:$F$1347,'Categorias'!$E$4:$E$1347,B8,'Categorias'!$A$4:$A$1347,M$3)</x:f>
        <x:v>557</x:v>
      </x:c>
      <x:c r="N8" s="47" t="n">
        <x:f>SUMIFS('Categorias'!$F$4:$F$1347,'Categorias'!$E$4:$E$1347,B8,'Categorias'!$A$4:$A$1347,N$3)</x:f>
        <x:v>36712</x:v>
      </x:c>
    </x:row>
    <x:row r="9">
      <x:c r="A9" s="39" t="n">
        <x:f>RANK.EQ(C9,$C$4:$C$273,0)</x:f>
        <x:v>6</x:v>
      </x:c>
      <x:c r="B9" s="40" t="str">
        <x:v>Euhh</x:v>
      </x:c>
      <x:c r="C9" s="28" t="n">
        <x:f>SUMIF('Categorias'!$E$4:$E$1347,B9,'Categorias'!$F$4:$F$1347)</x:f>
        <x:v>6658795</x:v>
      </x:c>
      <x:c r="D9" s="28" t="n">
        <x:f>SUMIFS('Categorias'!$F$4:$F$1347,'Categorias'!$E$4:$E$1347,B9,'Categorias'!$A$4:$A$1347,D$3)</x:f>
        <x:v>5184007</x:v>
      </x:c>
      <x:c r="E9" s="28" t="n">
        <x:f>SUMIFS('Categorias'!$F$4:$F$1347,'Categorias'!$E$4:$E$1347,B9,'Categorias'!$A$4:$A$1347,E$3)</x:f>
        <x:v>649860</x:v>
      </x:c>
      <x:c r="F9" s="28" t="n">
        <x:f>SUMIFS('Categorias'!$F$4:$F$1347,'Categorias'!$E$4:$E$1347,B9,'Categorias'!$A$4:$A$1347,F$3)</x:f>
        <x:v>73603</x:v>
      </x:c>
      <x:c r="G9" s="28" t="n">
        <x:f>SUMIFS('Categorias'!$F$4:$F$1347,'Categorias'!$E$4:$E$1347,B9,'Categorias'!$A$4:$A$1347,G$3)</x:f>
        <x:v>121499</x:v>
      </x:c>
      <x:c r="H9" s="28" t="n">
        <x:f>SUMIFS('Categorias'!$F$4:$F$1347,'Categorias'!$E$4:$E$1347,B9,'Categorias'!$A$4:$A$1347,H$3)</x:f>
        <x:v>177620</x:v>
      </x:c>
      <x:c r="I9" s="28" t="n">
        <x:f>SUMIFS('Categorias'!$F$4:$F$1347,'Categorias'!$E$4:$E$1347,B9,'Categorias'!$A$4:$A$1347,I$3)</x:f>
        <x:v>313993</x:v>
      </x:c>
      <x:c r="J9" s="28" t="n">
        <x:f>SUMIFS('Categorias'!$F$4:$F$1347,'Categorias'!$E$4:$E$1347,B9,'Categorias'!$A$4:$A$1347,J$3)</x:f>
        <x:v>65465</x:v>
      </x:c>
      <x:c r="K9" s="28" t="n">
        <x:f>SUMIFS('Categorias'!$F$4:$F$1347,'Categorias'!$E$4:$E$1347,B9,'Categorias'!$A$4:$A$1347,K$3)</x:f>
        <x:v>649</x:v>
      </x:c>
      <x:c r="L9" s="28" t="n">
        <x:f>SUMIFS('Categorias'!$F$4:$F$1347,'Categorias'!$E$4:$E$1347,B9,'Categorias'!$A$4:$A$1347,L$3)</x:f>
        <x:v>150</x:v>
      </x:c>
      <x:c r="M9" s="28" t="n">
        <x:f>SUMIFS('Categorias'!$F$4:$F$1347,'Categorias'!$E$4:$E$1347,B9,'Categorias'!$A$4:$A$1347,M$3)</x:f>
        <x:v>0</x:v>
      </x:c>
      <x:c r="N9" s="47" t="n">
        <x:f>SUMIFS('Categorias'!$F$4:$F$1347,'Categorias'!$E$4:$E$1347,B9,'Categorias'!$A$4:$A$1347,N$3)</x:f>
        <x:v>71949</x:v>
      </x:c>
    </x:row>
    <x:row r="10">
      <x:c r="A10" s="39" t="n">
        <x:f>RANK.EQ(C10,$C$4:$C$273,0)</x:f>
        <x:v>7</x:v>
      </x:c>
      <x:c r="B10" s="40" t="str">
        <x:v>SerpentVeil</x:v>
      </x:c>
      <x:c r="C10" s="28" t="n">
        <x:f>SUMIF('Categorias'!$E$4:$E$1347,B10,'Categorias'!$F$4:$F$1347)</x:f>
        <x:v>6425912</x:v>
      </x:c>
      <x:c r="D10" s="28" t="n">
        <x:f>SUMIFS('Categorias'!$F$4:$F$1347,'Categorias'!$E$4:$E$1347,B10,'Categorias'!$A$4:$A$1347,D$3)</x:f>
        <x:v>5162019</x:v>
      </x:c>
      <x:c r="E10" s="28" t="n">
        <x:f>SUMIFS('Categorias'!$F$4:$F$1347,'Categorias'!$E$4:$E$1347,B10,'Categorias'!$A$4:$A$1347,E$3)</x:f>
        <x:v>932319</x:v>
      </x:c>
      <x:c r="F10" s="28" t="n">
        <x:f>SUMIFS('Categorias'!$F$4:$F$1347,'Categorias'!$E$4:$E$1347,B10,'Categorias'!$A$4:$A$1347,F$3)</x:f>
        <x:v>46771</x:v>
      </x:c>
      <x:c r="G10" s="28" t="n">
        <x:f>SUMIFS('Categorias'!$F$4:$F$1347,'Categorias'!$E$4:$E$1347,B10,'Categorias'!$A$4:$A$1347,G$3)</x:f>
        <x:v>64654</x:v>
      </x:c>
      <x:c r="H10" s="28" t="n">
        <x:f>SUMIFS('Categorias'!$F$4:$F$1347,'Categorias'!$E$4:$E$1347,B10,'Categorias'!$A$4:$A$1347,H$3)</x:f>
        <x:v>66657</x:v>
      </x:c>
      <x:c r="I10" s="28" t="n">
        <x:f>SUMIFS('Categorias'!$F$4:$F$1347,'Categorias'!$E$4:$E$1347,B10,'Categorias'!$A$4:$A$1347,I$3)</x:f>
        <x:v>34540</x:v>
      </x:c>
      <x:c r="J10" s="28" t="n">
        <x:f>SUMIFS('Categorias'!$F$4:$F$1347,'Categorias'!$E$4:$E$1347,B10,'Categorias'!$A$4:$A$1347,J$3)</x:f>
        <x:v>84978</x:v>
      </x:c>
      <x:c r="K10" s="28" t="n">
        <x:f>SUMIFS('Categorias'!$F$4:$F$1347,'Categorias'!$E$4:$E$1347,B10,'Categorias'!$A$4:$A$1347,K$3)</x:f>
        <x:v>0</x:v>
      </x:c>
      <x:c r="L10" s="28" t="n">
        <x:f>SUMIFS('Categorias'!$F$4:$F$1347,'Categorias'!$E$4:$E$1347,B10,'Categorias'!$A$4:$A$1347,L$3)</x:f>
        <x:v>17317</x:v>
      </x:c>
      <x:c r="M10" s="28" t="n">
        <x:f>SUMIFS('Categorias'!$F$4:$F$1347,'Categorias'!$E$4:$E$1347,B10,'Categorias'!$A$4:$A$1347,M$3)</x:f>
        <x:v>0</x:v>
      </x:c>
      <x:c r="N10" s="47" t="n">
        <x:f>SUMIFS('Categorias'!$F$4:$F$1347,'Categorias'!$E$4:$E$1347,B10,'Categorias'!$A$4:$A$1347,N$3)</x:f>
        <x:v>16657</x:v>
      </x:c>
    </x:row>
    <x:row r="11">
      <x:c r="A11" s="39" t="n">
        <x:f>RANK.EQ(C11,$C$4:$C$273,0)</x:f>
        <x:v>8</x:v>
      </x:c>
      <x:c r="B11" s="40" t="str">
        <x:v>JrMadRyukk</x:v>
      </x:c>
      <x:c r="C11" s="28" t="n">
        <x:f>SUMIF('Categorias'!$E$4:$E$1347,B11,'Categorias'!$F$4:$F$1347)</x:f>
        <x:v>5800103</x:v>
      </x:c>
      <x:c r="D11" s="28" t="n">
        <x:f>SUMIFS('Categorias'!$F$4:$F$1347,'Categorias'!$E$4:$E$1347,B11,'Categorias'!$A$4:$A$1347,D$3)</x:f>
        <x:v>4730858</x:v>
      </x:c>
      <x:c r="E11" s="28" t="n">
        <x:f>SUMIFS('Categorias'!$F$4:$F$1347,'Categorias'!$E$4:$E$1347,B11,'Categorias'!$A$4:$A$1347,E$3)</x:f>
        <x:v>1069066</x:v>
      </x:c>
      <x:c r="F11" s="28" t="n">
        <x:f>SUMIFS('Categorias'!$F$4:$F$1347,'Categorias'!$E$4:$E$1347,B11,'Categorias'!$A$4:$A$1347,F$3)</x:f>
        <x:v>0</x:v>
      </x:c>
      <x:c r="G11" s="28" t="n">
        <x:f>SUMIFS('Categorias'!$F$4:$F$1347,'Categorias'!$E$4:$E$1347,B11,'Categorias'!$A$4:$A$1347,G$3)</x:f>
        <x:v>0</x:v>
      </x:c>
      <x:c r="H11" s="28" t="n">
        <x:f>SUMIFS('Categorias'!$F$4:$F$1347,'Categorias'!$E$4:$E$1347,B11,'Categorias'!$A$4:$A$1347,H$3)</x:f>
        <x:v>0</x:v>
      </x:c>
      <x:c r="I11" s="28" t="n">
        <x:f>SUMIFS('Categorias'!$F$4:$F$1347,'Categorias'!$E$4:$E$1347,B11,'Categorias'!$A$4:$A$1347,I$3)</x:f>
        <x:v>179</x:v>
      </x:c>
      <x:c r="J11" s="28" t="n">
        <x:f>SUMIFS('Categorias'!$F$4:$F$1347,'Categorias'!$E$4:$E$1347,B11,'Categorias'!$A$4:$A$1347,J$3)</x:f>
        <x:v>0</x:v>
      </x:c>
      <x:c r="K11" s="28" t="n">
        <x:f>SUMIFS('Categorias'!$F$4:$F$1347,'Categorias'!$E$4:$E$1347,B11,'Categorias'!$A$4:$A$1347,K$3)</x:f>
        <x:v>0</x:v>
      </x:c>
      <x:c r="L11" s="28" t="n">
        <x:f>SUMIFS('Categorias'!$F$4:$F$1347,'Categorias'!$E$4:$E$1347,B11,'Categorias'!$A$4:$A$1347,L$3)</x:f>
        <x:v>0</x:v>
      </x:c>
      <x:c r="M11" s="28" t="n">
        <x:f>SUMIFS('Categorias'!$F$4:$F$1347,'Categorias'!$E$4:$E$1347,B11,'Categorias'!$A$4:$A$1347,M$3)</x:f>
        <x:v>0</x:v>
      </x:c>
      <x:c r="N11" s="47" t="n">
        <x:f>SUMIFS('Categorias'!$F$4:$F$1347,'Categorias'!$E$4:$E$1347,B11,'Categorias'!$A$4:$A$1347,N$3)</x:f>
        <x:v>0</x:v>
      </x:c>
    </x:row>
    <x:row r="12">
      <x:c r="A12" s="39" t="n">
        <x:f>RANK.EQ(C12,$C$4:$C$273,0)</x:f>
        <x:v>9</x:v>
      </x:c>
      <x:c r="B12" s="40" t="str">
        <x:v>Tmaiusculo</x:v>
      </x:c>
      <x:c r="C12" s="28" t="n">
        <x:f>SUMIF('Categorias'!$E$4:$E$1347,B12,'Categorias'!$F$4:$F$1347)</x:f>
        <x:v>5502351</x:v>
      </x:c>
      <x:c r="D12" s="28" t="n">
        <x:f>SUMIFS('Categorias'!$F$4:$F$1347,'Categorias'!$E$4:$E$1347,B12,'Categorias'!$A$4:$A$1347,D$3)</x:f>
        <x:v>3538195</x:v>
      </x:c>
      <x:c r="E12" s="28" t="n">
        <x:f>SUMIFS('Categorias'!$F$4:$F$1347,'Categorias'!$E$4:$E$1347,B12,'Categorias'!$A$4:$A$1347,E$3)</x:f>
        <x:v>649331</x:v>
      </x:c>
      <x:c r="F12" s="28" t="n">
        <x:f>SUMIFS('Categorias'!$F$4:$F$1347,'Categorias'!$E$4:$E$1347,B12,'Categorias'!$A$4:$A$1347,F$3)</x:f>
        <x:v>21149</x:v>
      </x:c>
      <x:c r="G12" s="28" t="n">
        <x:f>SUMIFS('Categorias'!$F$4:$F$1347,'Categorias'!$E$4:$E$1347,B12,'Categorias'!$A$4:$A$1347,G$3)</x:f>
        <x:v>380869</x:v>
      </x:c>
      <x:c r="H12" s="28" t="n">
        <x:f>SUMIFS('Categorias'!$F$4:$F$1347,'Categorias'!$E$4:$E$1347,B12,'Categorias'!$A$4:$A$1347,H$3)</x:f>
        <x:v>74378</x:v>
      </x:c>
      <x:c r="I12" s="28" t="n">
        <x:f>SUMIFS('Categorias'!$F$4:$F$1347,'Categorias'!$E$4:$E$1347,B12,'Categorias'!$A$4:$A$1347,I$3)</x:f>
        <x:v>610442</x:v>
      </x:c>
      <x:c r="J12" s="28" t="n">
        <x:f>SUMIFS('Categorias'!$F$4:$F$1347,'Categorias'!$E$4:$E$1347,B12,'Categorias'!$A$4:$A$1347,J$3)</x:f>
        <x:v>135454</x:v>
      </x:c>
      <x:c r="K12" s="28" t="n">
        <x:f>SUMIFS('Categorias'!$F$4:$F$1347,'Categorias'!$E$4:$E$1347,B12,'Categorias'!$A$4:$A$1347,K$3)</x:f>
        <x:v>0</x:v>
      </x:c>
      <x:c r="L12" s="28" t="n">
        <x:f>SUMIFS('Categorias'!$F$4:$F$1347,'Categorias'!$E$4:$E$1347,B12,'Categorias'!$A$4:$A$1347,L$3)</x:f>
        <x:v>0</x:v>
      </x:c>
      <x:c r="M12" s="28" t="n">
        <x:f>SUMIFS('Categorias'!$F$4:$F$1347,'Categorias'!$E$4:$E$1347,B12,'Categorias'!$A$4:$A$1347,M$3)</x:f>
        <x:v>0</x:v>
      </x:c>
      <x:c r="N12" s="47" t="n">
        <x:f>SUMIFS('Categorias'!$F$4:$F$1347,'Categorias'!$E$4:$E$1347,B12,'Categorias'!$A$4:$A$1347,N$3)</x:f>
        <x:v>92533</x:v>
      </x:c>
    </x:row>
    <x:row r="13">
      <x:c r="A13" s="39" t="n">
        <x:f>RANK.EQ(C13,$C$4:$C$273,0)</x:f>
        <x:v>10</x:v>
      </x:c>
      <x:c r="B13" s="40" t="str">
        <x:v>xXFate</x:v>
      </x:c>
      <x:c r="C13" s="28" t="n">
        <x:f>SUMIF('Categorias'!$E$4:$E$1347,B13,'Categorias'!$F$4:$F$1347)</x:f>
        <x:v>5374691</x:v>
      </x:c>
      <x:c r="D13" s="28" t="n">
        <x:f>SUMIFS('Categorias'!$F$4:$F$1347,'Categorias'!$E$4:$E$1347,B13,'Categorias'!$A$4:$A$1347,D$3)</x:f>
        <x:v>4428778</x:v>
      </x:c>
      <x:c r="E13" s="28" t="n">
        <x:f>SUMIFS('Categorias'!$F$4:$F$1347,'Categorias'!$E$4:$E$1347,B13,'Categorias'!$A$4:$A$1347,E$3)</x:f>
        <x:v>932936</x:v>
      </x:c>
      <x:c r="F13" s="28" t="n">
        <x:f>SUMIFS('Categorias'!$F$4:$F$1347,'Categorias'!$E$4:$E$1347,B13,'Categorias'!$A$4:$A$1347,F$3)</x:f>
        <x:v>0</x:v>
      </x:c>
      <x:c r="G13" s="28" t="n">
        <x:f>SUMIFS('Categorias'!$F$4:$F$1347,'Categorias'!$E$4:$E$1347,B13,'Categorias'!$A$4:$A$1347,G$3)</x:f>
        <x:v>0</x:v>
      </x:c>
      <x:c r="H13" s="28" t="n">
        <x:f>SUMIFS('Categorias'!$F$4:$F$1347,'Categorias'!$E$4:$E$1347,B13,'Categorias'!$A$4:$A$1347,H$3)</x:f>
        <x:v>7300</x:v>
      </x:c>
      <x:c r="I13" s="28" t="n">
        <x:f>SUMIFS('Categorias'!$F$4:$F$1347,'Categorias'!$E$4:$E$1347,B13,'Categorias'!$A$4:$A$1347,I$3)</x:f>
        <x:v>368</x:v>
      </x:c>
      <x:c r="J13" s="28" t="n">
        <x:f>SUMIFS('Categorias'!$F$4:$F$1347,'Categorias'!$E$4:$E$1347,B13,'Categorias'!$A$4:$A$1347,J$3)</x:f>
        <x:v>3005</x:v>
      </x:c>
      <x:c r="K13" s="28" t="n">
        <x:f>SUMIFS('Categorias'!$F$4:$F$1347,'Categorias'!$E$4:$E$1347,B13,'Categorias'!$A$4:$A$1347,K$3)</x:f>
        <x:v>0</x:v>
      </x:c>
      <x:c r="L13" s="28" t="n">
        <x:f>SUMIFS('Categorias'!$F$4:$F$1347,'Categorias'!$E$4:$E$1347,B13,'Categorias'!$A$4:$A$1347,L$3)</x:f>
        <x:v>2304</x:v>
      </x:c>
      <x:c r="M13" s="28" t="n">
        <x:f>SUMIFS('Categorias'!$F$4:$F$1347,'Categorias'!$E$4:$E$1347,B13,'Categorias'!$A$4:$A$1347,M$3)</x:f>
        <x:v>0</x:v>
      </x:c>
      <x:c r="N13" s="47" t="n">
        <x:f>SUMIFS('Categorias'!$F$4:$F$1347,'Categorias'!$E$4:$E$1347,B13,'Categorias'!$A$4:$A$1347,N$3)</x:f>
        <x:v>0</x:v>
      </x:c>
    </x:row>
    <x:row r="14">
      <x:c r="A14" s="39" t="n">
        <x:f>RANK.EQ(C14,$C$4:$C$273,0)</x:f>
        <x:v>11</x:v>
      </x:c>
      <x:c r="B14" s="40" t="str">
        <x:v>PlantsTK</x:v>
      </x:c>
      <x:c r="C14" s="28" t="n">
        <x:f>SUMIF('Categorias'!$E$4:$E$1347,B14,'Categorias'!$F$4:$F$1347)</x:f>
        <x:v>5348320</x:v>
      </x:c>
      <x:c r="D14" s="28" t="n">
        <x:f>SUMIFS('Categorias'!$F$4:$F$1347,'Categorias'!$E$4:$E$1347,B14,'Categorias'!$A$4:$A$1347,D$3)</x:f>
        <x:v>3959913</x:v>
      </x:c>
      <x:c r="E14" s="28" t="n">
        <x:f>SUMIFS('Categorias'!$F$4:$F$1347,'Categorias'!$E$4:$E$1347,B14,'Categorias'!$A$4:$A$1347,E$3)</x:f>
        <x:v>744644</x:v>
      </x:c>
      <x:c r="F14" s="28" t="n">
        <x:f>SUMIFS('Categorias'!$F$4:$F$1347,'Categorias'!$E$4:$E$1347,B14,'Categorias'!$A$4:$A$1347,F$3)</x:f>
        <x:v>39532</x:v>
      </x:c>
      <x:c r="G14" s="28" t="n">
        <x:f>SUMIFS('Categorias'!$F$4:$F$1347,'Categorias'!$E$4:$E$1347,B14,'Categorias'!$A$4:$A$1347,G$3)</x:f>
        <x:v>110870</x:v>
      </x:c>
      <x:c r="H14" s="28" t="n">
        <x:f>SUMIFS('Categorias'!$F$4:$F$1347,'Categorias'!$E$4:$E$1347,B14,'Categorias'!$A$4:$A$1347,H$3)</x:f>
        <x:v>58426</x:v>
      </x:c>
      <x:c r="I14" s="28" t="n">
        <x:f>SUMIFS('Categorias'!$F$4:$F$1347,'Categorias'!$E$4:$E$1347,B14,'Categorias'!$A$4:$A$1347,I$3)</x:f>
        <x:v>246290</x:v>
      </x:c>
      <x:c r="J14" s="28" t="n">
        <x:f>SUMIFS('Categorias'!$F$4:$F$1347,'Categorias'!$E$4:$E$1347,B14,'Categorias'!$A$4:$A$1347,J$3)</x:f>
        <x:v>160826</x:v>
      </x:c>
      <x:c r="K14" s="28" t="n">
        <x:f>SUMIFS('Categorias'!$F$4:$F$1347,'Categorias'!$E$4:$E$1347,B14,'Categorias'!$A$4:$A$1347,K$3)</x:f>
        <x:v>0</x:v>
      </x:c>
      <x:c r="L14" s="28" t="n">
        <x:f>SUMIFS('Categorias'!$F$4:$F$1347,'Categorias'!$E$4:$E$1347,B14,'Categorias'!$A$4:$A$1347,L$3)</x:f>
        <x:v>3528</x:v>
      </x:c>
      <x:c r="M14" s="28" t="n">
        <x:f>SUMIFS('Categorias'!$F$4:$F$1347,'Categorias'!$E$4:$E$1347,B14,'Categorias'!$A$4:$A$1347,M$3)</x:f>
        <x:v>0</x:v>
      </x:c>
      <x:c r="N14" s="47" t="n">
        <x:f>SUMIFS('Categorias'!$F$4:$F$1347,'Categorias'!$E$4:$E$1347,B14,'Categorias'!$A$4:$A$1347,N$3)</x:f>
        <x:v>24291</x:v>
      </x:c>
    </x:row>
    <x:row r="15">
      <x:c r="A15" s="39" t="n">
        <x:f>RANK.EQ(C15,$C$4:$C$273,0)</x:f>
        <x:v>12</x:v>
      </x:c>
      <x:c r="B15" s="40" t="str">
        <x:v>Hi6or</x:v>
      </x:c>
      <x:c r="C15" s="28" t="n">
        <x:f>SUMIF('Categorias'!$E$4:$E$1347,B15,'Categorias'!$F$4:$F$1347)</x:f>
        <x:v>4262518</x:v>
      </x:c>
      <x:c r="D15" s="28" t="n">
        <x:f>SUMIFS('Categorias'!$F$4:$F$1347,'Categorias'!$E$4:$E$1347,B15,'Categorias'!$A$4:$A$1347,D$3)</x:f>
        <x:v>3237385</x:v>
      </x:c>
      <x:c r="E15" s="28" t="n">
        <x:f>SUMIFS('Categorias'!$F$4:$F$1347,'Categorias'!$E$4:$E$1347,B15,'Categorias'!$A$4:$A$1347,E$3)</x:f>
        <x:v>562948</x:v>
      </x:c>
      <x:c r="F15" s="28" t="n">
        <x:f>SUMIFS('Categorias'!$F$4:$F$1347,'Categorias'!$E$4:$E$1347,B15,'Categorias'!$A$4:$A$1347,F$3)</x:f>
        <x:v>23370</x:v>
      </x:c>
      <x:c r="G15" s="28" t="n">
        <x:f>SUMIFS('Categorias'!$F$4:$F$1347,'Categorias'!$E$4:$E$1347,B15,'Categorias'!$A$4:$A$1347,G$3)</x:f>
        <x:v>126419</x:v>
      </x:c>
      <x:c r="H15" s="28" t="n">
        <x:f>SUMIFS('Categorias'!$F$4:$F$1347,'Categorias'!$E$4:$E$1347,B15,'Categorias'!$A$4:$A$1347,H$3)</x:f>
        <x:v>65466</x:v>
      </x:c>
      <x:c r="I15" s="28" t="n">
        <x:f>SUMIFS('Categorias'!$F$4:$F$1347,'Categorias'!$E$4:$E$1347,B15,'Categorias'!$A$4:$A$1347,I$3)</x:f>
        <x:v>165508</x:v>
      </x:c>
      <x:c r="J15" s="28" t="n">
        <x:f>SUMIFS('Categorias'!$F$4:$F$1347,'Categorias'!$E$4:$E$1347,B15,'Categorias'!$A$4:$A$1347,J$3)</x:f>
        <x:v>68255</x:v>
      </x:c>
      <x:c r="K15" s="28" t="n">
        <x:f>SUMIFS('Categorias'!$F$4:$F$1347,'Categorias'!$E$4:$E$1347,B15,'Categorias'!$A$4:$A$1347,K$3)</x:f>
        <x:v>2412</x:v>
      </x:c>
      <x:c r="L15" s="28" t="n">
        <x:f>SUMIFS('Categorias'!$F$4:$F$1347,'Categorias'!$E$4:$E$1347,B15,'Categorias'!$A$4:$A$1347,L$3)</x:f>
        <x:v>4902</x:v>
      </x:c>
      <x:c r="M15" s="28" t="n">
        <x:f>SUMIFS('Categorias'!$F$4:$F$1347,'Categorias'!$E$4:$E$1347,B15,'Categorias'!$A$4:$A$1347,M$3)</x:f>
        <x:v>289</x:v>
      </x:c>
      <x:c r="N15" s="47" t="n">
        <x:f>SUMIFS('Categorias'!$F$4:$F$1347,'Categorias'!$E$4:$E$1347,B15,'Categorias'!$A$4:$A$1347,N$3)</x:f>
        <x:v>5564</x:v>
      </x:c>
    </x:row>
    <x:row r="16">
      <x:c r="A16" s="39" t="n">
        <x:f>RANK.EQ(C16,$C$4:$C$273,0)</x:f>
        <x:v>13</x:v>
      </x:c>
      <x:c r="B16" s="40" t="str">
        <x:v>BSAIGunner</x:v>
      </x:c>
      <x:c r="C16" s="28" t="n">
        <x:f>SUMIF('Categorias'!$E$4:$E$1347,B16,'Categorias'!$F$4:$F$1347)</x:f>
        <x:v>4065288</x:v>
      </x:c>
      <x:c r="D16" s="28" t="n">
        <x:f>SUMIFS('Categorias'!$F$4:$F$1347,'Categorias'!$E$4:$E$1347,B16,'Categorias'!$A$4:$A$1347,D$3)</x:f>
        <x:v>3190074</x:v>
      </x:c>
      <x:c r="E16" s="28" t="n">
        <x:f>SUMIFS('Categorias'!$F$4:$F$1347,'Categorias'!$E$4:$E$1347,B16,'Categorias'!$A$4:$A$1347,E$3)</x:f>
        <x:v>338675</x:v>
      </x:c>
      <x:c r="F16" s="28" t="n">
        <x:f>SUMIFS('Categorias'!$F$4:$F$1347,'Categorias'!$E$4:$E$1347,B16,'Categorias'!$A$4:$A$1347,F$3)</x:f>
        <x:v>16544</x:v>
      </x:c>
      <x:c r="G16" s="28" t="n">
        <x:f>SUMIFS('Categorias'!$F$4:$F$1347,'Categorias'!$E$4:$E$1347,B16,'Categorias'!$A$4:$A$1347,G$3)</x:f>
        <x:v>117843</x:v>
      </x:c>
      <x:c r="H16" s="28" t="n">
        <x:f>SUMIFS('Categorias'!$F$4:$F$1347,'Categorias'!$E$4:$E$1347,B16,'Categorias'!$A$4:$A$1347,H$3)</x:f>
        <x:v>47850</x:v>
      </x:c>
      <x:c r="I16" s="28" t="n">
        <x:f>SUMIFS('Categorias'!$F$4:$F$1347,'Categorias'!$E$4:$E$1347,B16,'Categorias'!$A$4:$A$1347,I$3)</x:f>
        <x:v>196520</x:v>
      </x:c>
      <x:c r="J16" s="28" t="n">
        <x:f>SUMIFS('Categorias'!$F$4:$F$1347,'Categorias'!$E$4:$E$1347,B16,'Categorias'!$A$4:$A$1347,J$3)</x:f>
        <x:v>110052</x:v>
      </x:c>
      <x:c r="K16" s="28" t="n">
        <x:f>SUMIFS('Categorias'!$F$4:$F$1347,'Categorias'!$E$4:$E$1347,B16,'Categorias'!$A$4:$A$1347,K$3)</x:f>
        <x:v>0</x:v>
      </x:c>
      <x:c r="L16" s="28" t="n">
        <x:f>SUMIFS('Categorias'!$F$4:$F$1347,'Categorias'!$E$4:$E$1347,B16,'Categorias'!$A$4:$A$1347,L$3)</x:f>
        <x:v>29768</x:v>
      </x:c>
      <x:c r="M16" s="28" t="n">
        <x:f>SUMIFS('Categorias'!$F$4:$F$1347,'Categorias'!$E$4:$E$1347,B16,'Categorias'!$A$4:$A$1347,M$3)</x:f>
        <x:v>0</x:v>
      </x:c>
      <x:c r="N16" s="47" t="n">
        <x:f>SUMIFS('Categorias'!$F$4:$F$1347,'Categorias'!$E$4:$E$1347,B16,'Categorias'!$A$4:$A$1347,N$3)</x:f>
        <x:v>17962</x:v>
      </x:c>
    </x:row>
    <x:row r="17">
      <x:c r="A17" s="39" t="n">
        <x:f>RANK.EQ(C17,$C$4:$C$273,0)</x:f>
        <x:v>14</x:v>
      </x:c>
      <x:c r="B17" s="40" t="str">
        <x:v>Nagacaburos</x:v>
      </x:c>
      <x:c r="C17" s="28" t="n">
        <x:f>SUMIF('Categorias'!$E$4:$E$1347,B17,'Categorias'!$F$4:$F$1347)</x:f>
        <x:v>3996177</x:v>
      </x:c>
      <x:c r="D17" s="28" t="n">
        <x:f>SUMIFS('Categorias'!$F$4:$F$1347,'Categorias'!$E$4:$E$1347,B17,'Categorias'!$A$4:$A$1347,D$3)</x:f>
        <x:v>3160196</x:v>
      </x:c>
      <x:c r="E17" s="28" t="n">
        <x:f>SUMIFS('Categorias'!$F$4:$F$1347,'Categorias'!$E$4:$E$1347,B17,'Categorias'!$A$4:$A$1347,E$3)</x:f>
        <x:v>436441</x:v>
      </x:c>
      <x:c r="F17" s="28" t="n">
        <x:f>SUMIFS('Categorias'!$F$4:$F$1347,'Categorias'!$E$4:$E$1347,B17,'Categorias'!$A$4:$A$1347,F$3)</x:f>
        <x:v>112217</x:v>
      </x:c>
      <x:c r="G17" s="28" t="n">
        <x:f>SUMIFS('Categorias'!$F$4:$F$1347,'Categorias'!$E$4:$E$1347,B17,'Categorias'!$A$4:$A$1347,G$3)</x:f>
        <x:v>94422</x:v>
      </x:c>
      <x:c r="H17" s="28" t="n">
        <x:f>SUMIFS('Categorias'!$F$4:$F$1347,'Categorias'!$E$4:$E$1347,B17,'Categorias'!$A$4:$A$1347,H$3)</x:f>
        <x:v>81780</x:v>
      </x:c>
      <x:c r="I17" s="28" t="n">
        <x:f>SUMIFS('Categorias'!$F$4:$F$1347,'Categorias'!$E$4:$E$1347,B17,'Categorias'!$A$4:$A$1347,I$3)</x:f>
        <x:v>64475</x:v>
      </x:c>
      <x:c r="J17" s="28" t="n">
        <x:f>SUMIFS('Categorias'!$F$4:$F$1347,'Categorias'!$E$4:$E$1347,B17,'Categorias'!$A$4:$A$1347,J$3)</x:f>
        <x:v>33852</x:v>
      </x:c>
      <x:c r="K17" s="28" t="n">
        <x:f>SUMIFS('Categorias'!$F$4:$F$1347,'Categorias'!$E$4:$E$1347,B17,'Categorias'!$A$4:$A$1347,K$3)</x:f>
        <x:v>0</x:v>
      </x:c>
      <x:c r="L17" s="28" t="n">
        <x:f>SUMIFS('Categorias'!$F$4:$F$1347,'Categorias'!$E$4:$E$1347,B17,'Categorias'!$A$4:$A$1347,L$3)</x:f>
        <x:v>960</x:v>
      </x:c>
      <x:c r="M17" s="28" t="n">
        <x:f>SUMIFS('Categorias'!$F$4:$F$1347,'Categorias'!$E$4:$E$1347,B17,'Categorias'!$A$4:$A$1347,M$3)</x:f>
        <x:v>0</x:v>
      </x:c>
      <x:c r="N17" s="47" t="n">
        <x:f>SUMIFS('Categorias'!$F$4:$F$1347,'Categorias'!$E$4:$E$1347,B17,'Categorias'!$A$4:$A$1347,N$3)</x:f>
        <x:v>11834</x:v>
      </x:c>
    </x:row>
    <x:row r="18">
      <x:c r="A18" s="39" t="n">
        <x:f>RANK.EQ(C18,$C$4:$C$273,0)</x:f>
        <x:v>15</x:v>
      </x:c>
      <x:c r="B18" s="40" t="str">
        <x:v>dsn</x:v>
      </x:c>
      <x:c r="C18" s="28" t="n">
        <x:f>SUMIF('Categorias'!$E$4:$E$1347,B18,'Categorias'!$F$4:$F$1347)</x:f>
        <x:v>3662041</x:v>
      </x:c>
      <x:c r="D18" s="28" t="n">
        <x:f>SUMIFS('Categorias'!$F$4:$F$1347,'Categorias'!$E$4:$E$1347,B18,'Categorias'!$A$4:$A$1347,D$3)</x:f>
        <x:v>2584852</x:v>
      </x:c>
      <x:c r="E18" s="28" t="n">
        <x:f>SUMIFS('Categorias'!$F$4:$F$1347,'Categorias'!$E$4:$E$1347,B18,'Categorias'!$A$4:$A$1347,E$3)</x:f>
        <x:v>350885</x:v>
      </x:c>
      <x:c r="F18" s="28" t="n">
        <x:f>SUMIFS('Categorias'!$F$4:$F$1347,'Categorias'!$E$4:$E$1347,B18,'Categorias'!$A$4:$A$1347,F$3)</x:f>
        <x:v>53534</x:v>
      </x:c>
      <x:c r="G18" s="28" t="n">
        <x:f>SUMIFS('Categorias'!$F$4:$F$1347,'Categorias'!$E$4:$E$1347,B18,'Categorias'!$A$4:$A$1347,G$3)</x:f>
        <x:v>219981</x:v>
      </x:c>
      <x:c r="H18" s="28" t="n">
        <x:f>SUMIFS('Categorias'!$F$4:$F$1347,'Categorias'!$E$4:$E$1347,B18,'Categorias'!$A$4:$A$1347,H$3)</x:f>
        <x:v>78024</x:v>
      </x:c>
      <x:c r="I18" s="28" t="n">
        <x:f>SUMIFS('Categorias'!$F$4:$F$1347,'Categorias'!$E$4:$E$1347,B18,'Categorias'!$A$4:$A$1347,I$3)</x:f>
        <x:v>229758</x:v>
      </x:c>
      <x:c r="J18" s="28" t="n">
        <x:f>SUMIFS('Categorias'!$F$4:$F$1347,'Categorias'!$E$4:$E$1347,B18,'Categorias'!$A$4:$A$1347,J$3)</x:f>
        <x:v>88397</x:v>
      </x:c>
      <x:c r="K18" s="28" t="n">
        <x:f>SUMIFS('Categorias'!$F$4:$F$1347,'Categorias'!$E$4:$E$1347,B18,'Categorias'!$A$4:$A$1347,K$3)</x:f>
        <x:v>2412</x:v>
      </x:c>
      <x:c r="L18" s="28" t="n">
        <x:f>SUMIFS('Categorias'!$F$4:$F$1347,'Categorias'!$E$4:$E$1347,B18,'Categorias'!$A$4:$A$1347,L$3)</x:f>
        <x:v>1086</x:v>
      </x:c>
      <x:c r="M18" s="28" t="n">
        <x:f>SUMIFS('Categorias'!$F$4:$F$1347,'Categorias'!$E$4:$E$1347,B18,'Categorias'!$A$4:$A$1347,M$3)</x:f>
        <x:v>0</x:v>
      </x:c>
      <x:c r="N18" s="47" t="n">
        <x:f>SUMIFS('Categorias'!$F$4:$F$1347,'Categorias'!$E$4:$E$1347,B18,'Categorias'!$A$4:$A$1347,N$3)</x:f>
        <x:v>53112</x:v>
      </x:c>
    </x:row>
    <x:row r="19">
      <x:c r="A19" s="39" t="n">
        <x:f>RANK.EQ(C19,$C$4:$C$273,0)</x:f>
        <x:v>16</x:v>
      </x:c>
      <x:c r="B19" s="40" t="str">
        <x:v>jokker1998</x:v>
      </x:c>
      <x:c r="C19" s="28" t="n">
        <x:f>SUMIF('Categorias'!$E$4:$E$1347,B19,'Categorias'!$F$4:$F$1347)</x:f>
        <x:v>3619304</x:v>
      </x:c>
      <x:c r="D19" s="28" t="n">
        <x:f>SUMIFS('Categorias'!$F$4:$F$1347,'Categorias'!$E$4:$E$1347,B19,'Categorias'!$A$4:$A$1347,D$3)</x:f>
        <x:v>2772615</x:v>
      </x:c>
      <x:c r="E19" s="28" t="n">
        <x:f>SUMIFS('Categorias'!$F$4:$F$1347,'Categorias'!$E$4:$E$1347,B19,'Categorias'!$A$4:$A$1347,E$3)</x:f>
        <x:v>448942</x:v>
      </x:c>
      <x:c r="F19" s="28" t="n">
        <x:f>SUMIFS('Categorias'!$F$4:$F$1347,'Categorias'!$E$4:$E$1347,B19,'Categorias'!$A$4:$A$1347,F$3)</x:f>
        <x:v>17077</x:v>
      </x:c>
      <x:c r="G19" s="28" t="n">
        <x:f>SUMIFS('Categorias'!$F$4:$F$1347,'Categorias'!$E$4:$E$1347,B19,'Categorias'!$A$4:$A$1347,G$3)</x:f>
        <x:v>157205</x:v>
      </x:c>
      <x:c r="H19" s="28" t="n">
        <x:f>SUMIFS('Categorias'!$F$4:$F$1347,'Categorias'!$E$4:$E$1347,B19,'Categorias'!$A$4:$A$1347,H$3)</x:f>
        <x:v>29388</x:v>
      </x:c>
      <x:c r="I19" s="28" t="n">
        <x:f>SUMIFS('Categorias'!$F$4:$F$1347,'Categorias'!$E$4:$E$1347,B19,'Categorias'!$A$4:$A$1347,I$3)</x:f>
        <x:v>34031</x:v>
      </x:c>
      <x:c r="J19" s="28" t="n">
        <x:f>SUMIFS('Categorias'!$F$4:$F$1347,'Categorias'!$E$4:$E$1347,B19,'Categorias'!$A$4:$A$1347,J$3)</x:f>
        <x:v>109951</x:v>
      </x:c>
      <x:c r="K19" s="28" t="n">
        <x:f>SUMIFS('Categorias'!$F$4:$F$1347,'Categorias'!$E$4:$E$1347,B19,'Categorias'!$A$4:$A$1347,K$3)</x:f>
        <x:v>0</x:v>
      </x:c>
      <x:c r="L19" s="28" t="n">
        <x:f>SUMIFS('Categorias'!$F$4:$F$1347,'Categorias'!$E$4:$E$1347,B19,'Categorias'!$A$4:$A$1347,L$3)</x:f>
        <x:v>1518</x:v>
      </x:c>
      <x:c r="M19" s="28" t="n">
        <x:f>SUMIFS('Categorias'!$F$4:$F$1347,'Categorias'!$E$4:$E$1347,B19,'Categorias'!$A$4:$A$1347,M$3)</x:f>
        <x:v>0</x:v>
      </x:c>
      <x:c r="N19" s="47" t="n">
        <x:f>SUMIFS('Categorias'!$F$4:$F$1347,'Categorias'!$E$4:$E$1347,B19,'Categorias'!$A$4:$A$1347,N$3)</x:f>
        <x:v>48577</x:v>
      </x:c>
    </x:row>
    <x:row r="20">
      <x:c r="A20" s="39" t="n">
        <x:f>RANK.EQ(C20,$C$4:$C$273,0)</x:f>
        <x:v>17</x:v>
      </x:c>
      <x:c r="B20" s="40" t="str">
        <x:v>minhafemea1</x:v>
      </x:c>
      <x:c r="C20" s="28" t="n">
        <x:f>SUMIF('Categorias'!$E$4:$E$1347,B20,'Categorias'!$F$4:$F$1347)</x:f>
        <x:v>3519096</x:v>
      </x:c>
      <x:c r="D20" s="28" t="n">
        <x:f>SUMIFS('Categorias'!$F$4:$F$1347,'Categorias'!$E$4:$E$1347,B20,'Categorias'!$A$4:$A$1347,D$3)</x:f>
        <x:v>2392960</x:v>
      </x:c>
      <x:c r="E20" s="28" t="n">
        <x:f>SUMIFS('Categorias'!$F$4:$F$1347,'Categorias'!$E$4:$E$1347,B20,'Categorias'!$A$4:$A$1347,E$3)</x:f>
        <x:v>205702</x:v>
      </x:c>
      <x:c r="F20" s="28" t="n">
        <x:f>SUMIFS('Categorias'!$F$4:$F$1347,'Categorias'!$E$4:$E$1347,B20,'Categorias'!$A$4:$A$1347,F$3)</x:f>
        <x:v>45936</x:v>
      </x:c>
      <x:c r="G20" s="28" t="n">
        <x:f>SUMIFS('Categorias'!$F$4:$F$1347,'Categorias'!$E$4:$E$1347,B20,'Categorias'!$A$4:$A$1347,G$3)</x:f>
        <x:v>183195</x:v>
      </x:c>
      <x:c r="H20" s="28" t="n">
        <x:f>SUMIFS('Categorias'!$F$4:$F$1347,'Categorias'!$E$4:$E$1347,B20,'Categorias'!$A$4:$A$1347,H$3)</x:f>
        <x:v>57435</x:v>
      </x:c>
      <x:c r="I20" s="28" t="n">
        <x:f>SUMIFS('Categorias'!$F$4:$F$1347,'Categorias'!$E$4:$E$1347,B20,'Categorias'!$A$4:$A$1347,I$3)</x:f>
        <x:v>347021</x:v>
      </x:c>
      <x:c r="J20" s="28" t="n">
        <x:f>SUMIFS('Categorias'!$F$4:$F$1347,'Categorias'!$E$4:$E$1347,B20,'Categorias'!$A$4:$A$1347,J$3)</x:f>
        <x:v>265061</x:v>
      </x:c>
      <x:c r="K20" s="28" t="n">
        <x:f>SUMIFS('Categorias'!$F$4:$F$1347,'Categorias'!$E$4:$E$1347,B20,'Categorias'!$A$4:$A$1347,K$3)</x:f>
        <x:v>0</x:v>
      </x:c>
      <x:c r="L20" s="28" t="n">
        <x:f>SUMIFS('Categorias'!$F$4:$F$1347,'Categorias'!$E$4:$E$1347,B20,'Categorias'!$A$4:$A$1347,L$3)</x:f>
        <x:v>1008</x:v>
      </x:c>
      <x:c r="M20" s="28" t="n">
        <x:f>SUMIFS('Categorias'!$F$4:$F$1347,'Categorias'!$E$4:$E$1347,B20,'Categorias'!$A$4:$A$1347,M$3)</x:f>
        <x:v>0</x:v>
      </x:c>
      <x:c r="N20" s="47" t="n">
        <x:f>SUMIFS('Categorias'!$F$4:$F$1347,'Categorias'!$E$4:$E$1347,B20,'Categorias'!$A$4:$A$1347,N$3)</x:f>
        <x:v>20778</x:v>
      </x:c>
    </x:row>
    <x:row r="21">
      <x:c r="A21" s="39" t="n">
        <x:f>RANK.EQ(C21,$C$4:$C$273,0)</x:f>
        <x:v>18</x:v>
      </x:c>
      <x:c r="B21" s="40" t="str">
        <x:v>OniGuM000</x:v>
      </x:c>
      <x:c r="C21" s="28" t="n">
        <x:f>SUMIF('Categorias'!$E$4:$E$1347,B21,'Categorias'!$F$4:$F$1347)</x:f>
        <x:v>3517882</x:v>
      </x:c>
      <x:c r="D21" s="28" t="n">
        <x:f>SUMIFS('Categorias'!$F$4:$F$1347,'Categorias'!$E$4:$E$1347,B21,'Categorias'!$A$4:$A$1347,D$3)</x:f>
        <x:v>2646599</x:v>
      </x:c>
      <x:c r="E21" s="28" t="n">
        <x:f>SUMIFS('Categorias'!$F$4:$F$1347,'Categorias'!$E$4:$E$1347,B21,'Categorias'!$A$4:$A$1347,E$3)</x:f>
        <x:v>204510</x:v>
      </x:c>
      <x:c r="F21" s="28" t="n">
        <x:f>SUMIFS('Categorias'!$F$4:$F$1347,'Categorias'!$E$4:$E$1347,B21,'Categorias'!$A$4:$A$1347,F$3)</x:f>
        <x:v>0</x:v>
      </x:c>
      <x:c r="G21" s="28" t="n">
        <x:f>SUMIFS('Categorias'!$F$4:$F$1347,'Categorias'!$E$4:$E$1347,B21,'Categorias'!$A$4:$A$1347,G$3)</x:f>
        <x:v>128196</x:v>
      </x:c>
      <x:c r="H21" s="28" t="n">
        <x:f>SUMIFS('Categorias'!$F$4:$F$1347,'Categorias'!$E$4:$E$1347,B21,'Categorias'!$A$4:$A$1347,H$3)</x:f>
        <x:v>108500</x:v>
      </x:c>
      <x:c r="I21" s="28" t="n">
        <x:f>SUMIFS('Categorias'!$F$4:$F$1347,'Categorias'!$E$4:$E$1347,B21,'Categorias'!$A$4:$A$1347,I$3)</x:f>
        <x:v>152571</x:v>
      </x:c>
      <x:c r="J21" s="28" t="n">
        <x:f>SUMIFS('Categorias'!$F$4:$F$1347,'Categorias'!$E$4:$E$1347,B21,'Categorias'!$A$4:$A$1347,J$3)</x:f>
        <x:v>222565</x:v>
      </x:c>
      <x:c r="K21" s="28" t="n">
        <x:f>SUMIFS('Categorias'!$F$4:$F$1347,'Categorias'!$E$4:$E$1347,B21,'Categorias'!$A$4:$A$1347,K$3)</x:f>
        <x:v>0</x:v>
      </x:c>
      <x:c r="L21" s="28" t="n">
        <x:f>SUMIFS('Categorias'!$F$4:$F$1347,'Categorias'!$E$4:$E$1347,B21,'Categorias'!$A$4:$A$1347,L$3)</x:f>
        <x:v>29020</x:v>
      </x:c>
      <x:c r="M21" s="28" t="n">
        <x:f>SUMIFS('Categorias'!$F$4:$F$1347,'Categorias'!$E$4:$E$1347,B21,'Categorias'!$A$4:$A$1347,M$3)</x:f>
        <x:v>0</x:v>
      </x:c>
      <x:c r="N21" s="47" t="n">
        <x:f>SUMIFS('Categorias'!$F$4:$F$1347,'Categorias'!$E$4:$E$1347,B21,'Categorias'!$A$4:$A$1347,N$3)</x:f>
        <x:v>25921</x:v>
      </x:c>
    </x:row>
    <x:row r="22">
      <x:c r="A22" s="39" t="n">
        <x:f>RANK.EQ(C22,$C$4:$C$273,0)</x:f>
        <x:v>19</x:v>
      </x:c>
      <x:c r="B22" s="40" t="str">
        <x:v>lordkiller01</x:v>
      </x:c>
      <x:c r="C22" s="28" t="n">
        <x:f>SUMIF('Categorias'!$E$4:$E$1347,B22,'Categorias'!$F$4:$F$1347)</x:f>
        <x:v>3445335</x:v>
      </x:c>
      <x:c r="D22" s="28" t="n">
        <x:f>SUMIFS('Categorias'!$F$4:$F$1347,'Categorias'!$E$4:$E$1347,B22,'Categorias'!$A$4:$A$1347,D$3)</x:f>
        <x:v>2616956</x:v>
      </x:c>
      <x:c r="E22" s="28" t="n">
        <x:f>SUMIFS('Categorias'!$F$4:$F$1347,'Categorias'!$E$4:$E$1347,B22,'Categorias'!$A$4:$A$1347,E$3)</x:f>
        <x:v>283950</x:v>
      </x:c>
      <x:c r="F22" s="28" t="n">
        <x:f>SUMIFS('Categorias'!$F$4:$F$1347,'Categorias'!$E$4:$E$1347,B22,'Categorias'!$A$4:$A$1347,F$3)</x:f>
        <x:v>47297</x:v>
      </x:c>
      <x:c r="G22" s="28" t="n">
        <x:f>SUMIFS('Categorias'!$F$4:$F$1347,'Categorias'!$E$4:$E$1347,B22,'Categorias'!$A$4:$A$1347,G$3)</x:f>
        <x:v>110621</x:v>
      </x:c>
      <x:c r="H22" s="28" t="n">
        <x:f>SUMIFS('Categorias'!$F$4:$F$1347,'Categorias'!$E$4:$E$1347,B22,'Categorias'!$A$4:$A$1347,H$3)</x:f>
        <x:v>83954</x:v>
      </x:c>
      <x:c r="I22" s="28" t="n">
        <x:f>SUMIFS('Categorias'!$F$4:$F$1347,'Categorias'!$E$4:$E$1347,B22,'Categorias'!$A$4:$A$1347,I$3)</x:f>
        <x:v>210376</x:v>
      </x:c>
      <x:c r="J22" s="28" t="n">
        <x:f>SUMIFS('Categorias'!$F$4:$F$1347,'Categorias'!$E$4:$E$1347,B22,'Categorias'!$A$4:$A$1347,J$3)</x:f>
        <x:v>40630</x:v>
      </x:c>
      <x:c r="K22" s="28" t="n">
        <x:f>SUMIFS('Categorias'!$F$4:$F$1347,'Categorias'!$E$4:$E$1347,B22,'Categorias'!$A$4:$A$1347,K$3)</x:f>
        <x:v>649</x:v>
      </x:c>
      <x:c r="L22" s="28" t="n">
        <x:f>SUMIFS('Categorias'!$F$4:$F$1347,'Categorias'!$E$4:$E$1347,B22,'Categorias'!$A$4:$A$1347,L$3)</x:f>
        <x:v>0</x:v>
      </x:c>
      <x:c r="M22" s="28" t="n">
        <x:f>SUMIFS('Categorias'!$F$4:$F$1347,'Categorias'!$E$4:$E$1347,B22,'Categorias'!$A$4:$A$1347,M$3)</x:f>
        <x:v>0</x:v>
      </x:c>
      <x:c r="N22" s="47" t="n">
        <x:f>SUMIFS('Categorias'!$F$4:$F$1347,'Categorias'!$E$4:$E$1347,B22,'Categorias'!$A$4:$A$1347,N$3)</x:f>
        <x:v>50902</x:v>
      </x:c>
    </x:row>
    <x:row r="23">
      <x:c r="A23" s="39" t="n">
        <x:f>RANK.EQ(C23,$C$4:$C$273,0)</x:f>
        <x:v>20</x:v>
      </x:c>
      <x:c r="B23" s="40" t="str">
        <x:v>Jairrodrigo</x:v>
      </x:c>
      <x:c r="C23" s="28" t="n">
        <x:f>SUMIF('Categorias'!$E$4:$E$1347,B23,'Categorias'!$F$4:$F$1347)</x:f>
        <x:v>3327485</x:v>
      </x:c>
      <x:c r="D23" s="28" t="n">
        <x:f>SUMIFS('Categorias'!$F$4:$F$1347,'Categorias'!$E$4:$E$1347,B23,'Categorias'!$A$4:$A$1347,D$3)</x:f>
        <x:v>2453701</x:v>
      </x:c>
      <x:c r="E23" s="28" t="n">
        <x:f>SUMIFS('Categorias'!$F$4:$F$1347,'Categorias'!$E$4:$E$1347,B23,'Categorias'!$A$4:$A$1347,E$3)</x:f>
        <x:v>0</x:v>
      </x:c>
      <x:c r="F23" s="28" t="n">
        <x:f>SUMIFS('Categorias'!$F$4:$F$1347,'Categorias'!$E$4:$E$1347,B23,'Categorias'!$A$4:$A$1347,F$3)</x:f>
        <x:v>0</x:v>
      </x:c>
      <x:c r="G23" s="28" t="n">
        <x:f>SUMIFS('Categorias'!$F$4:$F$1347,'Categorias'!$E$4:$E$1347,B23,'Categorias'!$A$4:$A$1347,G$3)</x:f>
        <x:v>301288</x:v>
      </x:c>
      <x:c r="H23" s="28" t="n">
        <x:f>SUMIFS('Categorias'!$F$4:$F$1347,'Categorias'!$E$4:$E$1347,B23,'Categorias'!$A$4:$A$1347,H$3)</x:f>
        <x:v>0</x:v>
      </x:c>
      <x:c r="I23" s="28" t="n">
        <x:f>SUMIFS('Categorias'!$F$4:$F$1347,'Categorias'!$E$4:$E$1347,B23,'Categorias'!$A$4:$A$1347,I$3)</x:f>
        <x:v>0</x:v>
      </x:c>
      <x:c r="J23" s="28" t="n">
        <x:f>SUMIFS('Categorias'!$F$4:$F$1347,'Categorias'!$E$4:$E$1347,B23,'Categorias'!$A$4:$A$1347,J$3)</x:f>
        <x:v>73063</x:v>
      </x:c>
      <x:c r="K23" s="28" t="n">
        <x:f>SUMIFS('Categorias'!$F$4:$F$1347,'Categorias'!$E$4:$E$1347,B23,'Categorias'!$A$4:$A$1347,K$3)</x:f>
        <x:v>0</x:v>
      </x:c>
      <x:c r="L23" s="28" t="n">
        <x:f>SUMIFS('Categorias'!$F$4:$F$1347,'Categorias'!$E$4:$E$1347,B23,'Categorias'!$A$4:$A$1347,L$3)</x:f>
        <x:v>0</x:v>
      </x:c>
      <x:c r="M23" s="28" t="n">
        <x:f>SUMIFS('Categorias'!$F$4:$F$1347,'Categorias'!$E$4:$E$1347,B23,'Categorias'!$A$4:$A$1347,M$3)</x:f>
        <x:v>0</x:v>
      </x:c>
      <x:c r="N23" s="47" t="n">
        <x:f>SUMIFS('Categorias'!$F$4:$F$1347,'Categorias'!$E$4:$E$1347,B23,'Categorias'!$A$4:$A$1347,N$3)</x:f>
        <x:v>0</x:v>
      </x:c>
    </x:row>
    <x:row r="24">
      <x:c r="A24" s="39" t="n">
        <x:f>RANK.EQ(C24,$C$4:$C$273,0)</x:f>
        <x:v>21</x:v>
      </x:c>
      <x:c r="B24" s="40" t="str">
        <x:v>Julioczr</x:v>
      </x:c>
      <x:c r="C24" s="28" t="n">
        <x:f>SUMIF('Categorias'!$E$4:$E$1347,B24,'Categorias'!$F$4:$F$1347)</x:f>
        <x:v>3235118</x:v>
      </x:c>
      <x:c r="D24" s="28" t="n">
        <x:f>SUMIFS('Categorias'!$F$4:$F$1347,'Categorias'!$E$4:$E$1347,B24,'Categorias'!$A$4:$A$1347,D$3)</x:f>
        <x:v>2624927</x:v>
      </x:c>
      <x:c r="E24" s="28" t="n">
        <x:f>SUMIFS('Categorias'!$F$4:$F$1347,'Categorias'!$E$4:$E$1347,B24,'Categorias'!$A$4:$A$1347,E$3)</x:f>
        <x:v>507381</x:v>
      </x:c>
      <x:c r="F24" s="28" t="n">
        <x:f>SUMIFS('Categorias'!$F$4:$F$1347,'Categorias'!$E$4:$E$1347,B24,'Categorias'!$A$4:$A$1347,F$3)</x:f>
        <x:v>0</x:v>
      </x:c>
      <x:c r="G24" s="28" t="n">
        <x:f>SUMIFS('Categorias'!$F$4:$F$1347,'Categorias'!$E$4:$E$1347,B24,'Categorias'!$A$4:$A$1347,G$3)</x:f>
        <x:v>0</x:v>
      </x:c>
      <x:c r="H24" s="28" t="n">
        <x:f>SUMIFS('Categorias'!$F$4:$F$1347,'Categorias'!$E$4:$E$1347,B24,'Categorias'!$A$4:$A$1347,H$3)</x:f>
        <x:v>10804</x:v>
      </x:c>
      <x:c r="I24" s="28" t="n">
        <x:f>SUMIFS('Categorias'!$F$4:$F$1347,'Categorias'!$E$4:$E$1347,B24,'Categorias'!$A$4:$A$1347,I$3)</x:f>
        <x:v>0</x:v>
      </x:c>
      <x:c r="J24" s="28" t="n">
        <x:f>SUMIFS('Categorias'!$F$4:$F$1347,'Categorias'!$E$4:$E$1347,B24,'Categorias'!$A$4:$A$1347,J$3)</x:f>
        <x:v>0</x:v>
      </x:c>
      <x:c r="K24" s="28" t="n">
        <x:f>SUMIFS('Categorias'!$F$4:$F$1347,'Categorias'!$E$4:$E$1347,B24,'Categorias'!$A$4:$A$1347,K$3)</x:f>
        <x:v>0</x:v>
      </x:c>
      <x:c r="L24" s="28" t="n">
        <x:f>SUMIFS('Categorias'!$F$4:$F$1347,'Categorias'!$E$4:$E$1347,B24,'Categorias'!$A$4:$A$1347,L$3)</x:f>
        <x:v>468</x:v>
      </x:c>
      <x:c r="M24" s="28" t="n">
        <x:f>SUMIFS('Categorias'!$F$4:$F$1347,'Categorias'!$E$4:$E$1347,B24,'Categorias'!$A$4:$A$1347,M$3)</x:f>
        <x:v>0</x:v>
      </x:c>
      <x:c r="N24" s="47" t="n">
        <x:f>SUMIFS('Categorias'!$F$4:$F$1347,'Categorias'!$E$4:$E$1347,B24,'Categorias'!$A$4:$A$1347,N$3)</x:f>
        <x:v>1628</x:v>
      </x:c>
    </x:row>
    <x:row r="25">
      <x:c r="A25" s="39" t="n">
        <x:f>RANK.EQ(C25,$C$4:$C$273,0)</x:f>
        <x:v>22</x:v>
      </x:c>
      <x:c r="B25" s="40" t="str">
        <x:v>MatMac</x:v>
      </x:c>
      <x:c r="C25" s="28" t="n">
        <x:f>SUMIF('Categorias'!$E$4:$E$1347,B25,'Categorias'!$F$4:$F$1347)</x:f>
        <x:v>3161623</x:v>
      </x:c>
      <x:c r="D25" s="28" t="n">
        <x:f>SUMIFS('Categorias'!$F$4:$F$1347,'Categorias'!$E$4:$E$1347,B25,'Categorias'!$A$4:$A$1347,D$3)</x:f>
        <x:v>2294095</x:v>
      </x:c>
      <x:c r="E25" s="28" t="n">
        <x:f>SUMIFS('Categorias'!$F$4:$F$1347,'Categorias'!$E$4:$E$1347,B25,'Categorias'!$A$4:$A$1347,E$3)</x:f>
        <x:v>229391</x:v>
      </x:c>
      <x:c r="F25" s="28" t="n">
        <x:f>SUMIFS('Categorias'!$F$4:$F$1347,'Categorias'!$E$4:$E$1347,B25,'Categorias'!$A$4:$A$1347,F$3)</x:f>
        <x:v>4323</x:v>
      </x:c>
      <x:c r="G25" s="28" t="n">
        <x:f>SUMIFS('Categorias'!$F$4:$F$1347,'Categorias'!$E$4:$E$1347,B25,'Categorias'!$A$4:$A$1347,G$3)</x:f>
        <x:v>244803</x:v>
      </x:c>
      <x:c r="H25" s="28" t="n">
        <x:f>SUMIFS('Categorias'!$F$4:$F$1347,'Categorias'!$E$4:$E$1347,B25,'Categorias'!$A$4:$A$1347,H$3)</x:f>
        <x:v>87913</x:v>
      </x:c>
      <x:c r="I25" s="28" t="n">
        <x:f>SUMIFS('Categorias'!$F$4:$F$1347,'Categorias'!$E$4:$E$1347,B25,'Categorias'!$A$4:$A$1347,I$3)</x:f>
        <x:v>118435</x:v>
      </x:c>
      <x:c r="J25" s="28" t="n">
        <x:f>SUMIFS('Categorias'!$F$4:$F$1347,'Categorias'!$E$4:$E$1347,B25,'Categorias'!$A$4:$A$1347,J$3)</x:f>
        <x:v>108979</x:v>
      </x:c>
      <x:c r="K25" s="28" t="n">
        <x:f>SUMIFS('Categorias'!$F$4:$F$1347,'Categorias'!$E$4:$E$1347,B25,'Categorias'!$A$4:$A$1347,K$3)</x:f>
        <x:v>3107</x:v>
      </x:c>
      <x:c r="L25" s="28" t="n">
        <x:f>SUMIFS('Categorias'!$F$4:$F$1347,'Categorias'!$E$4:$E$1347,B25,'Categorias'!$A$4:$A$1347,L$3)</x:f>
        <x:v>6571</x:v>
      </x:c>
      <x:c r="M25" s="28" t="n">
        <x:f>SUMIFS('Categorias'!$F$4:$F$1347,'Categorias'!$E$4:$E$1347,B25,'Categorias'!$A$4:$A$1347,M$3)</x:f>
        <x:v>0</x:v>
      </x:c>
      <x:c r="N25" s="47" t="n">
        <x:f>SUMIFS('Categorias'!$F$4:$F$1347,'Categorias'!$E$4:$E$1347,B25,'Categorias'!$A$4:$A$1347,N$3)</x:f>
        <x:v>64006</x:v>
      </x:c>
    </x:row>
    <x:row r="26">
      <x:c r="A26" s="39" t="n">
        <x:f>RANK.EQ(C26,$C$4:$C$273,0)</x:f>
        <x:v>23</x:v>
      </x:c>
      <x:c r="B26" s="40" t="str">
        <x:v>Akuma1000</x:v>
      </x:c>
      <x:c r="C26" s="28" t="n">
        <x:f>SUMIF('Categorias'!$E$4:$E$1347,B26,'Categorias'!$F$4:$F$1347)</x:f>
        <x:v>3063397</x:v>
      </x:c>
      <x:c r="D26" s="28" t="n">
        <x:f>SUMIFS('Categorias'!$F$4:$F$1347,'Categorias'!$E$4:$E$1347,B26,'Categorias'!$A$4:$A$1347,D$3)</x:f>
        <x:v>2005800</x:v>
      </x:c>
      <x:c r="E26" s="28" t="n">
        <x:f>SUMIFS('Categorias'!$F$4:$F$1347,'Categorias'!$E$4:$E$1347,B26,'Categorias'!$A$4:$A$1347,E$3)</x:f>
        <x:v>239817</x:v>
      </x:c>
      <x:c r="F26" s="28" t="n">
        <x:f>SUMIFS('Categorias'!$F$4:$F$1347,'Categorias'!$E$4:$E$1347,B26,'Categorias'!$A$4:$A$1347,F$3)</x:f>
        <x:v>2498</x:v>
      </x:c>
      <x:c r="G26" s="28" t="n">
        <x:f>SUMIFS('Categorias'!$F$4:$F$1347,'Categorias'!$E$4:$E$1347,B26,'Categorias'!$A$4:$A$1347,G$3)</x:f>
        <x:v>147116</x:v>
      </x:c>
      <x:c r="H26" s="28" t="n">
        <x:f>SUMIFS('Categorias'!$F$4:$F$1347,'Categorias'!$E$4:$E$1347,B26,'Categorias'!$A$4:$A$1347,H$3)</x:f>
        <x:v>46190</x:v>
      </x:c>
      <x:c r="I26" s="28" t="n">
        <x:f>SUMIFS('Categorias'!$F$4:$F$1347,'Categorias'!$E$4:$E$1347,B26,'Categorias'!$A$4:$A$1347,I$3)</x:f>
        <x:v>445475</x:v>
      </x:c>
      <x:c r="J26" s="28" t="n">
        <x:f>SUMIFS('Categorias'!$F$4:$F$1347,'Categorias'!$E$4:$E$1347,B26,'Categorias'!$A$4:$A$1347,J$3)</x:f>
        <x:v>72692</x:v>
      </x:c>
      <x:c r="K26" s="28" t="n">
        <x:f>SUMIFS('Categorias'!$F$4:$F$1347,'Categorias'!$E$4:$E$1347,B26,'Categorias'!$A$4:$A$1347,K$3)</x:f>
        <x:v>0</x:v>
      </x:c>
      <x:c r="L26" s="28" t="n">
        <x:f>SUMIFS('Categorias'!$F$4:$F$1347,'Categorias'!$E$4:$E$1347,B26,'Categorias'!$A$4:$A$1347,L$3)</x:f>
        <x:v>0</x:v>
      </x:c>
      <x:c r="M26" s="28" t="n">
        <x:f>SUMIFS('Categorias'!$F$4:$F$1347,'Categorias'!$E$4:$E$1347,B26,'Categorias'!$A$4:$A$1347,M$3)</x:f>
        <x:v>0</x:v>
      </x:c>
      <x:c r="N26" s="47" t="n">
        <x:f>SUMIFS('Categorias'!$F$4:$F$1347,'Categorias'!$E$4:$E$1347,B26,'Categorias'!$A$4:$A$1347,N$3)</x:f>
        <x:v>103809</x:v>
      </x:c>
    </x:row>
    <x:row r="27">
      <x:c r="A27" s="39" t="n">
        <x:f>RANK.EQ(C27,$C$4:$C$273,0)</x:f>
        <x:v>24</x:v>
      </x:c>
      <x:c r="B27" s="40" t="str">
        <x:v>ISpellNotFound</x:v>
      </x:c>
      <x:c r="C27" s="28" t="n">
        <x:f>SUMIF('Categorias'!$E$4:$E$1347,B27,'Categorias'!$F$4:$F$1347)</x:f>
        <x:v>3053903</x:v>
      </x:c>
      <x:c r="D27" s="28" t="n">
        <x:f>SUMIFS('Categorias'!$F$4:$F$1347,'Categorias'!$E$4:$E$1347,B27,'Categorias'!$A$4:$A$1347,D$3)</x:f>
        <x:v>2502224</x:v>
      </x:c>
      <x:c r="E27" s="28" t="n">
        <x:f>SUMIFS('Categorias'!$F$4:$F$1347,'Categorias'!$E$4:$E$1347,B27,'Categorias'!$A$4:$A$1347,E$3)</x:f>
        <x:v>538520</x:v>
      </x:c>
      <x:c r="F27" s="28" t="n">
        <x:f>SUMIFS('Categorias'!$F$4:$F$1347,'Categorias'!$E$4:$E$1347,B27,'Categorias'!$A$4:$A$1347,F$3)</x:f>
        <x:v>0</x:v>
      </x:c>
      <x:c r="G27" s="28" t="n">
        <x:f>SUMIFS('Categorias'!$F$4:$F$1347,'Categorias'!$E$4:$E$1347,B27,'Categorias'!$A$4:$A$1347,G$3)</x:f>
        <x:v>0</x:v>
      </x:c>
      <x:c r="H27" s="28" t="n">
        <x:f>SUMIFS('Categorias'!$F$4:$F$1347,'Categorias'!$E$4:$E$1347,B27,'Categorias'!$A$4:$A$1347,H$3)</x:f>
        <x:v>886</x:v>
      </x:c>
      <x:c r="I27" s="28" t="n">
        <x:f>SUMIFS('Categorias'!$F$4:$F$1347,'Categorias'!$E$4:$E$1347,B27,'Categorias'!$A$4:$A$1347,I$3)</x:f>
        <x:v>9014</x:v>
      </x:c>
      <x:c r="J27" s="28" t="n">
        <x:f>SUMIFS('Categorias'!$F$4:$F$1347,'Categorias'!$E$4:$E$1347,B27,'Categorias'!$A$4:$A$1347,J$3)</x:f>
        <x:v>2285</x:v>
      </x:c>
      <x:c r="K27" s="28" t="n">
        <x:f>SUMIFS('Categorias'!$F$4:$F$1347,'Categorias'!$E$4:$E$1347,B27,'Categorias'!$A$4:$A$1347,K$3)</x:f>
        <x:v>0</x:v>
      </x:c>
      <x:c r="L27" s="28" t="n">
        <x:f>SUMIFS('Categorias'!$F$4:$F$1347,'Categorias'!$E$4:$E$1347,B27,'Categorias'!$A$4:$A$1347,L$3)</x:f>
        <x:v>0</x:v>
      </x:c>
      <x:c r="M27" s="28" t="n">
        <x:f>SUMIFS('Categorias'!$F$4:$F$1347,'Categorias'!$E$4:$E$1347,B27,'Categorias'!$A$4:$A$1347,M$3)</x:f>
        <x:v>0</x:v>
      </x:c>
      <x:c r="N27" s="47" t="n">
        <x:f>SUMIFS('Categorias'!$F$4:$F$1347,'Categorias'!$E$4:$E$1347,B27,'Categorias'!$A$4:$A$1347,N$3)</x:f>
        <x:v>974</x:v>
      </x:c>
    </x:row>
    <x:row r="28">
      <x:c r="A28" s="39" t="n">
        <x:f>RANK.EQ(C28,$C$4:$C$273,0)</x:f>
        <x:v>25</x:v>
      </x:c>
      <x:c r="B28" s="40" t="str">
        <x:v>Groom84</x:v>
      </x:c>
      <x:c r="C28" s="28" t="n">
        <x:f>SUMIF('Categorias'!$E$4:$E$1347,B28,'Categorias'!$F$4:$F$1347)</x:f>
        <x:v>2771280</x:v>
      </x:c>
      <x:c r="D28" s="28" t="n">
        <x:f>SUMIFS('Categorias'!$F$4:$F$1347,'Categorias'!$E$4:$E$1347,B28,'Categorias'!$A$4:$A$1347,D$3)</x:f>
        <x:v>2515082</x:v>
      </x:c>
      <x:c r="E28" s="28" t="n">
        <x:f>SUMIFS('Categorias'!$F$4:$F$1347,'Categorias'!$E$4:$E$1347,B28,'Categorias'!$A$4:$A$1347,E$3)</x:f>
        <x:v>35544</x:v>
      </x:c>
      <x:c r="F28" s="28" t="n">
        <x:f>SUMIFS('Categorias'!$F$4:$F$1347,'Categorias'!$E$4:$E$1347,B28,'Categorias'!$A$4:$A$1347,F$3)</x:f>
        <x:v>11170</x:v>
      </x:c>
      <x:c r="G28" s="28" t="n">
        <x:f>SUMIFS('Categorias'!$F$4:$F$1347,'Categorias'!$E$4:$E$1347,B28,'Categorias'!$A$4:$A$1347,G$3)</x:f>
        <x:v>120321</x:v>
      </x:c>
      <x:c r="H28" s="28" t="n">
        <x:f>SUMIFS('Categorias'!$F$4:$F$1347,'Categorias'!$E$4:$E$1347,B28,'Categorias'!$A$4:$A$1347,H$3)</x:f>
        <x:v>8094</x:v>
      </x:c>
      <x:c r="I28" s="28" t="n">
        <x:f>SUMIFS('Categorias'!$F$4:$F$1347,'Categorias'!$E$4:$E$1347,B28,'Categorias'!$A$4:$A$1347,I$3)</x:f>
        <x:v>51748</x:v>
      </x:c>
      <x:c r="J28" s="28" t="n">
        <x:f>SUMIFS('Categorias'!$F$4:$F$1347,'Categorias'!$E$4:$E$1347,B28,'Categorias'!$A$4:$A$1347,J$3)</x:f>
        <x:v>12989</x:v>
      </x:c>
      <x:c r="K28" s="28" t="n">
        <x:f>SUMIFS('Categorias'!$F$4:$F$1347,'Categorias'!$E$4:$E$1347,B28,'Categorias'!$A$4:$A$1347,K$3)</x:f>
        <x:v>0</x:v>
      </x:c>
      <x:c r="L28" s="28" t="n">
        <x:f>SUMIFS('Categorias'!$F$4:$F$1347,'Categorias'!$E$4:$E$1347,B28,'Categorias'!$A$4:$A$1347,L$3)</x:f>
        <x:v>0</x:v>
      </x:c>
      <x:c r="M28" s="28" t="n">
        <x:f>SUMIFS('Categorias'!$F$4:$F$1347,'Categorias'!$E$4:$E$1347,B28,'Categorias'!$A$4:$A$1347,M$3)</x:f>
        <x:v>0</x:v>
      </x:c>
      <x:c r="N28" s="47" t="n">
        <x:f>SUMIFS('Categorias'!$F$4:$F$1347,'Categorias'!$E$4:$E$1347,B28,'Categorias'!$A$4:$A$1347,N$3)</x:f>
        <x:v>16332</x:v>
      </x:c>
    </x:row>
    <x:row r="29">
      <x:c r="A29" s="39" t="n">
        <x:f>RANK.EQ(C29,$C$4:$C$273,0)</x:f>
        <x:v>26</x:v>
      </x:c>
      <x:c r="B29" s="40" t="str">
        <x:v>Dorfiuses</x:v>
      </x:c>
      <x:c r="C29" s="28" t="n">
        <x:f>SUMIF('Categorias'!$E$4:$E$1347,B29,'Categorias'!$F$4:$F$1347)</x:f>
        <x:v>2742410</x:v>
      </x:c>
      <x:c r="D29" s="28" t="n">
        <x:f>SUMIFS('Categorias'!$F$4:$F$1347,'Categorias'!$E$4:$E$1347,B29,'Categorias'!$A$4:$A$1347,D$3)</x:f>
        <x:v>2164737</x:v>
      </x:c>
      <x:c r="E29" s="28" t="n">
        <x:f>SUMIFS('Categorias'!$F$4:$F$1347,'Categorias'!$E$4:$E$1347,B29,'Categorias'!$A$4:$A$1347,E$3)</x:f>
        <x:v>328378</x:v>
      </x:c>
      <x:c r="F29" s="28" t="n">
        <x:f>SUMIFS('Categorias'!$F$4:$F$1347,'Categorias'!$E$4:$E$1347,B29,'Categorias'!$A$4:$A$1347,F$3)</x:f>
        <x:v>9630</x:v>
      </x:c>
      <x:c r="G29" s="28" t="n">
        <x:f>SUMIFS('Categorias'!$F$4:$F$1347,'Categorias'!$E$4:$E$1347,B29,'Categorias'!$A$4:$A$1347,G$3)</x:f>
        <x:v>23175</x:v>
      </x:c>
      <x:c r="H29" s="28" t="n">
        <x:f>SUMIFS('Categorias'!$F$4:$F$1347,'Categorias'!$E$4:$E$1347,B29,'Categorias'!$A$4:$A$1347,H$3)</x:f>
        <x:v>59621</x:v>
      </x:c>
      <x:c r="I29" s="28" t="n">
        <x:f>SUMIFS('Categorias'!$F$4:$F$1347,'Categorias'!$E$4:$E$1347,B29,'Categorias'!$A$4:$A$1347,I$3)</x:f>
        <x:v>43711</x:v>
      </x:c>
      <x:c r="J29" s="28" t="n">
        <x:f>SUMIFS('Categorias'!$F$4:$F$1347,'Categorias'!$E$4:$E$1347,B29,'Categorias'!$A$4:$A$1347,J$3)</x:f>
        <x:v>95801</x:v>
      </x:c>
      <x:c r="K29" s="28" t="n">
        <x:f>SUMIFS('Categorias'!$F$4:$F$1347,'Categorias'!$E$4:$E$1347,B29,'Categorias'!$A$4:$A$1347,K$3)</x:f>
        <x:v>8843</x:v>
      </x:c>
      <x:c r="L29" s="28" t="n">
        <x:f>SUMIFS('Categorias'!$F$4:$F$1347,'Categorias'!$E$4:$E$1347,B29,'Categorias'!$A$4:$A$1347,L$3)</x:f>
        <x:v>1460</x:v>
      </x:c>
      <x:c r="M29" s="28" t="n">
        <x:f>SUMIFS('Categorias'!$F$4:$F$1347,'Categorias'!$E$4:$E$1347,B29,'Categorias'!$A$4:$A$1347,M$3)</x:f>
        <x:v>2078</x:v>
      </x:c>
      <x:c r="N29" s="47" t="n">
        <x:f>SUMIFS('Categorias'!$F$4:$F$1347,'Categorias'!$E$4:$E$1347,B29,'Categorias'!$A$4:$A$1347,N$3)</x:f>
        <x:v>4976</x:v>
      </x:c>
    </x:row>
    <x:row r="30">
      <x:c r="A30" s="39" t="n">
        <x:f>RANK.EQ(C30,$C$4:$C$273,0)</x:f>
        <x:v>27</x:v>
      </x:c>
      <x:c r="B30" s="40" t="str">
        <x:v>WellITKD</x:v>
      </x:c>
      <x:c r="C30" s="28" t="n">
        <x:f>SUMIF('Categorias'!$E$4:$E$1347,B30,'Categorias'!$F$4:$F$1347)</x:f>
        <x:v>2647445</x:v>
      </x:c>
      <x:c r="D30" s="28" t="n">
        <x:f>SUMIFS('Categorias'!$F$4:$F$1347,'Categorias'!$E$4:$E$1347,B30,'Categorias'!$A$4:$A$1347,D$3)</x:f>
        <x:v>2339725</x:v>
      </x:c>
      <x:c r="E30" s="28" t="n">
        <x:f>SUMIFS('Categorias'!$F$4:$F$1347,'Categorias'!$E$4:$E$1347,B30,'Categorias'!$A$4:$A$1347,E$3)</x:f>
        <x:v>225523</x:v>
      </x:c>
      <x:c r="F30" s="28" t="n">
        <x:f>SUMIFS('Categorias'!$F$4:$F$1347,'Categorias'!$E$4:$E$1347,B30,'Categorias'!$A$4:$A$1347,F$3)</x:f>
        <x:v>1002</x:v>
      </x:c>
      <x:c r="G30" s="28" t="n">
        <x:f>SUMIFS('Categorias'!$F$4:$F$1347,'Categorias'!$E$4:$E$1347,B30,'Categorias'!$A$4:$A$1347,G$3)</x:f>
        <x:v>15253</x:v>
      </x:c>
      <x:c r="H30" s="28" t="n">
        <x:f>SUMIFS('Categorias'!$F$4:$F$1347,'Categorias'!$E$4:$E$1347,B30,'Categorias'!$A$4:$A$1347,H$3)</x:f>
        <x:v>9065</x:v>
      </x:c>
      <x:c r="I30" s="28" t="n">
        <x:f>SUMIFS('Categorias'!$F$4:$F$1347,'Categorias'!$E$4:$E$1347,B30,'Categorias'!$A$4:$A$1347,I$3)</x:f>
        <x:v>29877</x:v>
      </x:c>
      <x:c r="J30" s="28" t="n">
        <x:f>SUMIFS('Categorias'!$F$4:$F$1347,'Categorias'!$E$4:$E$1347,B30,'Categorias'!$A$4:$A$1347,J$3)</x:f>
        <x:v>18753</x:v>
      </x:c>
      <x:c r="K30" s="28" t="n">
        <x:f>SUMIFS('Categorias'!$F$4:$F$1347,'Categorias'!$E$4:$E$1347,B30,'Categorias'!$A$4:$A$1347,K$3)</x:f>
        <x:v>0</x:v>
      </x:c>
      <x:c r="L30" s="28" t="n">
        <x:f>SUMIFS('Categorias'!$F$4:$F$1347,'Categorias'!$E$4:$E$1347,B30,'Categorias'!$A$4:$A$1347,L$3)</x:f>
        <x:v>0</x:v>
      </x:c>
      <x:c r="M30" s="28" t="n">
        <x:f>SUMIFS('Categorias'!$F$4:$F$1347,'Categorias'!$E$4:$E$1347,B30,'Categorias'!$A$4:$A$1347,M$3)</x:f>
        <x:v>0</x:v>
      </x:c>
      <x:c r="N30" s="47" t="n">
        <x:f>SUMIFS('Categorias'!$F$4:$F$1347,'Categorias'!$E$4:$E$1347,B30,'Categorias'!$A$4:$A$1347,N$3)</x:f>
        <x:v>8247</x:v>
      </x:c>
    </x:row>
    <x:row r="31">
      <x:c r="A31" s="39" t="n">
        <x:f>RANK.EQ(C31,$C$4:$C$273,0)</x:f>
        <x:v>28</x:v>
      </x:c>
      <x:c r="B31" s="40" t="str">
        <x:v>maicon1357</x:v>
      </x:c>
      <x:c r="C31" s="28" t="n">
        <x:f>SUMIF('Categorias'!$E$4:$E$1347,B31,'Categorias'!$F$4:$F$1347)</x:f>
        <x:v>2624438</x:v>
      </x:c>
      <x:c r="D31" s="28" t="n">
        <x:f>SUMIFS('Categorias'!$F$4:$F$1347,'Categorias'!$E$4:$E$1347,B31,'Categorias'!$A$4:$A$1347,D$3)</x:f>
        <x:v>2020696</x:v>
      </x:c>
      <x:c r="E31" s="28" t="n">
        <x:f>SUMIFS('Categorias'!$F$4:$F$1347,'Categorias'!$E$4:$E$1347,B31,'Categorias'!$A$4:$A$1347,E$3)</x:f>
        <x:v>346042</x:v>
      </x:c>
      <x:c r="F31" s="28" t="n">
        <x:f>SUMIFS('Categorias'!$F$4:$F$1347,'Categorias'!$E$4:$E$1347,B31,'Categorias'!$A$4:$A$1347,F$3)</x:f>
        <x:v>24763</x:v>
      </x:c>
      <x:c r="G31" s="28" t="n">
        <x:f>SUMIFS('Categorias'!$F$4:$F$1347,'Categorias'!$E$4:$E$1347,B31,'Categorias'!$A$4:$A$1347,G$3)</x:f>
        <x:v>103402</x:v>
      </x:c>
      <x:c r="H31" s="28" t="n">
        <x:f>SUMIFS('Categorias'!$F$4:$F$1347,'Categorias'!$E$4:$E$1347,B31,'Categorias'!$A$4:$A$1347,H$3)</x:f>
        <x:v>31790</x:v>
      </x:c>
      <x:c r="I31" s="28" t="n">
        <x:f>SUMIFS('Categorias'!$F$4:$F$1347,'Categorias'!$E$4:$E$1347,B31,'Categorias'!$A$4:$A$1347,I$3)</x:f>
        <x:v>48548</x:v>
      </x:c>
      <x:c r="J31" s="28" t="n">
        <x:f>SUMIFS('Categorias'!$F$4:$F$1347,'Categorias'!$E$4:$E$1347,B31,'Categorias'!$A$4:$A$1347,J$3)</x:f>
        <x:v>29237</x:v>
      </x:c>
      <x:c r="K31" s="28" t="n">
        <x:f>SUMIFS('Categorias'!$F$4:$F$1347,'Categorias'!$E$4:$E$1347,B31,'Categorias'!$A$4:$A$1347,K$3)</x:f>
        <x:v>0</x:v>
      </x:c>
      <x:c r="L31" s="28" t="n">
        <x:f>SUMIFS('Categorias'!$F$4:$F$1347,'Categorias'!$E$4:$E$1347,B31,'Categorias'!$A$4:$A$1347,L$3)</x:f>
        <x:v>0</x:v>
      </x:c>
      <x:c r="M31" s="28" t="n">
        <x:f>SUMIFS('Categorias'!$F$4:$F$1347,'Categorias'!$E$4:$E$1347,B31,'Categorias'!$A$4:$A$1347,M$3)</x:f>
        <x:v>0</x:v>
      </x:c>
      <x:c r="N31" s="47" t="n">
        <x:f>SUMIFS('Categorias'!$F$4:$F$1347,'Categorias'!$E$4:$E$1347,B31,'Categorias'!$A$4:$A$1347,N$3)</x:f>
        <x:v>19960</x:v>
      </x:c>
    </x:row>
    <x:row r="32">
      <x:c r="A32" s="39" t="n">
        <x:f>RANK.EQ(C32,$C$4:$C$273,0)</x:f>
        <x:v>29</x:v>
      </x:c>
      <x:c r="B32" s="40" t="str">
        <x:v>avven1996</x:v>
      </x:c>
      <x:c r="C32" s="28" t="n">
        <x:f>SUMIF('Categorias'!$E$4:$E$1347,B32,'Categorias'!$F$4:$F$1347)</x:f>
        <x:v>2406515</x:v>
      </x:c>
      <x:c r="D32" s="28" t="n">
        <x:f>SUMIFS('Categorias'!$F$4:$F$1347,'Categorias'!$E$4:$E$1347,B32,'Categorias'!$A$4:$A$1347,D$3)</x:f>
        <x:v>2064915</x:v>
      </x:c>
      <x:c r="E32" s="28" t="n">
        <x:f>SUMIFS('Categorias'!$F$4:$F$1347,'Categorias'!$E$4:$E$1347,B32,'Categorias'!$A$4:$A$1347,E$3)</x:f>
        <x:v>222084</x:v>
      </x:c>
      <x:c r="F32" s="28" t="n">
        <x:f>SUMIFS('Categorias'!$F$4:$F$1347,'Categorias'!$E$4:$E$1347,B32,'Categorias'!$A$4:$A$1347,F$3)</x:f>
        <x:v>65314</x:v>
      </x:c>
      <x:c r="G32" s="28" t="n">
        <x:f>SUMIFS('Categorias'!$F$4:$F$1347,'Categorias'!$E$4:$E$1347,B32,'Categorias'!$A$4:$A$1347,G$3)</x:f>
        <x:v>17625</x:v>
      </x:c>
      <x:c r="H32" s="28" t="n">
        <x:f>SUMIFS('Categorias'!$F$4:$F$1347,'Categorias'!$E$4:$E$1347,B32,'Categorias'!$A$4:$A$1347,H$3)</x:f>
        <x:v>20231</x:v>
      </x:c>
      <x:c r="I32" s="28" t="n">
        <x:f>SUMIFS('Categorias'!$F$4:$F$1347,'Categorias'!$E$4:$E$1347,B32,'Categorias'!$A$4:$A$1347,I$3)</x:f>
        <x:v>12695</x:v>
      </x:c>
      <x:c r="J32" s="28" t="n">
        <x:f>SUMIFS('Categorias'!$F$4:$F$1347,'Categorias'!$E$4:$E$1347,B32,'Categorias'!$A$4:$A$1347,J$3)</x:f>
        <x:v>1215</x:v>
      </x:c>
      <x:c r="K32" s="28" t="n">
        <x:f>SUMIFS('Categorias'!$F$4:$F$1347,'Categorias'!$E$4:$E$1347,B32,'Categorias'!$A$4:$A$1347,K$3)</x:f>
        <x:v>0</x:v>
      </x:c>
      <x:c r="L32" s="28" t="n">
        <x:f>SUMIFS('Categorias'!$F$4:$F$1347,'Categorias'!$E$4:$E$1347,B32,'Categorias'!$A$4:$A$1347,L$3)</x:f>
        <x:v>2436</x:v>
      </x:c>
      <x:c r="M32" s="28" t="n">
        <x:f>SUMIFS('Categorias'!$F$4:$F$1347,'Categorias'!$E$4:$E$1347,B32,'Categorias'!$A$4:$A$1347,M$3)</x:f>
        <x:v>0</x:v>
      </x:c>
      <x:c r="N32" s="47" t="n">
        <x:f>SUMIFS('Categorias'!$F$4:$F$1347,'Categorias'!$E$4:$E$1347,B32,'Categorias'!$A$4:$A$1347,N$3)</x:f>
        <x:v>0</x:v>
      </x:c>
    </x:row>
    <x:row r="33">
      <x:c r="A33" s="39" t="n">
        <x:f>RANK.EQ(C33,$C$4:$C$273,0)</x:f>
        <x:v>30</x:v>
      </x:c>
      <x:c r="B33" s="40" t="str">
        <x:v>KuNaKiNa</x:v>
      </x:c>
      <x:c r="C33" s="28" t="n">
        <x:f>SUMIF('Categorias'!$E$4:$E$1347,B33,'Categorias'!$F$4:$F$1347)</x:f>
        <x:v>2380191</x:v>
      </x:c>
      <x:c r="D33" s="28" t="n">
        <x:f>SUMIFS('Categorias'!$F$4:$F$1347,'Categorias'!$E$4:$E$1347,B33,'Categorias'!$A$4:$A$1347,D$3)</x:f>
        <x:v>1624030</x:v>
      </x:c>
      <x:c r="E33" s="28" t="n">
        <x:f>SUMIFS('Categorias'!$F$4:$F$1347,'Categorias'!$E$4:$E$1347,B33,'Categorias'!$A$4:$A$1347,E$3)</x:f>
        <x:v>183416</x:v>
      </x:c>
      <x:c r="F33" s="28" t="n">
        <x:f>SUMIFS('Categorias'!$F$4:$F$1347,'Categorias'!$E$4:$E$1347,B33,'Categorias'!$A$4:$A$1347,F$3)</x:f>
        <x:v>30488</x:v>
      </x:c>
      <x:c r="G33" s="28" t="n">
        <x:f>SUMIFS('Categorias'!$F$4:$F$1347,'Categorias'!$E$4:$E$1347,B33,'Categorias'!$A$4:$A$1347,G$3)</x:f>
        <x:v>150973</x:v>
      </x:c>
      <x:c r="H33" s="28" t="n">
        <x:f>SUMIFS('Categorias'!$F$4:$F$1347,'Categorias'!$E$4:$E$1347,B33,'Categorias'!$A$4:$A$1347,H$3)</x:f>
        <x:v>65833</x:v>
      </x:c>
      <x:c r="I33" s="28" t="n">
        <x:f>SUMIFS('Categorias'!$F$4:$F$1347,'Categorias'!$E$4:$E$1347,B33,'Categorias'!$A$4:$A$1347,I$3)</x:f>
        <x:v>102212</x:v>
      </x:c>
      <x:c r="J33" s="28" t="n">
        <x:f>SUMIFS('Categorias'!$F$4:$F$1347,'Categorias'!$E$4:$E$1347,B33,'Categorias'!$A$4:$A$1347,J$3)</x:f>
        <x:v>203034</x:v>
      </x:c>
      <x:c r="K33" s="28" t="n">
        <x:f>SUMIFS('Categorias'!$F$4:$F$1347,'Categorias'!$E$4:$E$1347,B33,'Categorias'!$A$4:$A$1347,K$3)</x:f>
        <x:v>0</x:v>
      </x:c>
      <x:c r="L33" s="28" t="n">
        <x:f>SUMIFS('Categorias'!$F$4:$F$1347,'Categorias'!$E$4:$E$1347,B33,'Categorias'!$A$4:$A$1347,L$3)</x:f>
        <x:v>66</x:v>
      </x:c>
      <x:c r="M33" s="28" t="n">
        <x:f>SUMIFS('Categorias'!$F$4:$F$1347,'Categorias'!$E$4:$E$1347,B33,'Categorias'!$A$4:$A$1347,M$3)</x:f>
        <x:v>0</x:v>
      </x:c>
      <x:c r="N33" s="47" t="n">
        <x:f>SUMIFS('Categorias'!$F$4:$F$1347,'Categorias'!$E$4:$E$1347,B33,'Categorias'!$A$4:$A$1347,N$3)</x:f>
        <x:v>20139</x:v>
      </x:c>
    </x:row>
    <x:row r="34">
      <x:c r="A34" s="39" t="n">
        <x:f>RANK.EQ(C34,$C$4:$C$273,0)</x:f>
        <x:v>31</x:v>
      </x:c>
      <x:c r="B34" s="40" t="str">
        <x:v>goncalves23</x:v>
      </x:c>
      <x:c r="C34" s="28" t="n">
        <x:f>SUMIF('Categorias'!$E$4:$E$1347,B34,'Categorias'!$F$4:$F$1347)</x:f>
        <x:v>2360366</x:v>
      </x:c>
      <x:c r="D34" s="28" t="n">
        <x:f>SUMIFS('Categorias'!$F$4:$F$1347,'Categorias'!$E$4:$E$1347,B34,'Categorias'!$A$4:$A$1347,D$3)</x:f>
        <x:v>1750320</x:v>
      </x:c>
      <x:c r="E34" s="28" t="n">
        <x:f>SUMIFS('Categorias'!$F$4:$F$1347,'Categorias'!$E$4:$E$1347,B34,'Categorias'!$A$4:$A$1347,E$3)</x:f>
        <x:v>317865</x:v>
      </x:c>
      <x:c r="F34" s="28" t="n">
        <x:f>SUMIFS('Categorias'!$F$4:$F$1347,'Categorias'!$E$4:$E$1347,B34,'Categorias'!$A$4:$A$1347,F$3)</x:f>
        <x:v>14014</x:v>
      </x:c>
      <x:c r="G34" s="28" t="n">
        <x:f>SUMIFS('Categorias'!$F$4:$F$1347,'Categorias'!$E$4:$E$1347,B34,'Categorias'!$A$4:$A$1347,G$3)</x:f>
        <x:v>129702</x:v>
      </x:c>
      <x:c r="H34" s="28" t="n">
        <x:f>SUMIFS('Categorias'!$F$4:$F$1347,'Categorias'!$E$4:$E$1347,B34,'Categorias'!$A$4:$A$1347,H$3)</x:f>
        <x:v>33371</x:v>
      </x:c>
      <x:c r="I34" s="28" t="n">
        <x:f>SUMIFS('Categorias'!$F$4:$F$1347,'Categorias'!$E$4:$E$1347,B34,'Categorias'!$A$4:$A$1347,I$3)</x:f>
        <x:v>72614</x:v>
      </x:c>
      <x:c r="J34" s="28" t="n">
        <x:f>SUMIFS('Categorias'!$F$4:$F$1347,'Categorias'!$E$4:$E$1347,B34,'Categorias'!$A$4:$A$1347,J$3)</x:f>
        <x:v>22468</x:v>
      </x:c>
      <x:c r="K34" s="28" t="n">
        <x:f>SUMIFS('Categorias'!$F$4:$F$1347,'Categorias'!$E$4:$E$1347,B34,'Categorias'!$A$4:$A$1347,K$3)</x:f>
        <x:v>1731</x:v>
      </x:c>
      <x:c r="L34" s="28" t="n">
        <x:f>SUMIFS('Categorias'!$F$4:$F$1347,'Categorias'!$E$4:$E$1347,B34,'Categorias'!$A$4:$A$1347,L$3)</x:f>
        <x:v>1568</x:v>
      </x:c>
      <x:c r="M34" s="28" t="n">
        <x:f>SUMIFS('Categorias'!$F$4:$F$1347,'Categorias'!$E$4:$E$1347,B34,'Categorias'!$A$4:$A$1347,M$3)</x:f>
        <x:v>356</x:v>
      </x:c>
      <x:c r="N34" s="47" t="n">
        <x:f>SUMIFS('Categorias'!$F$4:$F$1347,'Categorias'!$E$4:$E$1347,B34,'Categorias'!$A$4:$A$1347,N$3)</x:f>
        <x:v>16357</x:v>
      </x:c>
    </x:row>
    <x:row r="35">
      <x:c r="A35" s="39" t="n">
        <x:f>RANK.EQ(C35,$C$4:$C$273,0)</x:f>
        <x:v>32</x:v>
      </x:c>
      <x:c r="B35" s="40" t="str">
        <x:v>LEOPOLD</x:v>
      </x:c>
      <x:c r="C35" s="28" t="n">
        <x:f>SUMIF('Categorias'!$E$4:$E$1347,B35,'Categorias'!$F$4:$F$1347)</x:f>
        <x:v>2356811</x:v>
      </x:c>
      <x:c r="D35" s="28" t="n">
        <x:f>SUMIFS('Categorias'!$F$4:$F$1347,'Categorias'!$E$4:$E$1347,B35,'Categorias'!$A$4:$A$1347,D$3)</x:f>
        <x:v>1904072</x:v>
      </x:c>
      <x:c r="E35" s="28" t="n">
        <x:f>SUMIFS('Categorias'!$F$4:$F$1347,'Categorias'!$E$4:$E$1347,B35,'Categorias'!$A$4:$A$1347,E$3)</x:f>
        <x:v>62420</x:v>
      </x:c>
      <x:c r="F35" s="28" t="n">
        <x:f>SUMIFS('Categorias'!$F$4:$F$1347,'Categorias'!$E$4:$E$1347,B35,'Categorias'!$A$4:$A$1347,F$3)</x:f>
        <x:v>77061</x:v>
      </x:c>
      <x:c r="G35" s="28" t="n">
        <x:f>SUMIFS('Categorias'!$F$4:$F$1347,'Categorias'!$E$4:$E$1347,B35,'Categorias'!$A$4:$A$1347,G$3)</x:f>
        <x:v>128517</x:v>
      </x:c>
      <x:c r="H35" s="28" t="n">
        <x:f>SUMIFS('Categorias'!$F$4:$F$1347,'Categorias'!$E$4:$E$1347,B35,'Categorias'!$A$4:$A$1347,H$3)</x:f>
        <x:v>53390</x:v>
      </x:c>
      <x:c r="I35" s="28" t="n">
        <x:f>SUMIFS('Categorias'!$F$4:$F$1347,'Categorias'!$E$4:$E$1347,B35,'Categorias'!$A$4:$A$1347,I$3)</x:f>
        <x:v>47724</x:v>
      </x:c>
      <x:c r="J35" s="28" t="n">
        <x:f>SUMIFS('Categorias'!$F$4:$F$1347,'Categorias'!$E$4:$E$1347,B35,'Categorias'!$A$4:$A$1347,J$3)</x:f>
        <x:v>81679</x:v>
      </x:c>
      <x:c r="K35" s="28" t="n">
        <x:f>SUMIFS('Categorias'!$F$4:$F$1347,'Categorias'!$E$4:$E$1347,B35,'Categorias'!$A$4:$A$1347,K$3)</x:f>
        <x:v>0</x:v>
      </x:c>
      <x:c r="L35" s="28" t="n">
        <x:f>SUMIFS('Categorias'!$F$4:$F$1347,'Categorias'!$E$4:$E$1347,B35,'Categorias'!$A$4:$A$1347,L$3)</x:f>
        <x:v>0</x:v>
      </x:c>
      <x:c r="M35" s="28" t="n">
        <x:f>SUMIFS('Categorias'!$F$4:$F$1347,'Categorias'!$E$4:$E$1347,B35,'Categorias'!$A$4:$A$1347,M$3)</x:f>
        <x:v>0</x:v>
      </x:c>
      <x:c r="N35" s="47" t="n">
        <x:f>SUMIFS('Categorias'!$F$4:$F$1347,'Categorias'!$E$4:$E$1347,B35,'Categorias'!$A$4:$A$1347,N$3)</x:f>
        <x:v>1948</x:v>
      </x:c>
    </x:row>
    <x:row r="36">
      <x:c r="A36" s="39" t="n">
        <x:f>RANK.EQ(C36,$C$4:$C$273,0)</x:f>
        <x:v>33</x:v>
      </x:c>
      <x:c r="B36" s="40" t="str">
        <x:v>jordansPt</x:v>
      </x:c>
      <x:c r="C36" s="28" t="n">
        <x:f>SUMIF('Categorias'!$E$4:$E$1347,B36,'Categorias'!$F$4:$F$1347)</x:f>
        <x:v>2355357</x:v>
      </x:c>
      <x:c r="D36" s="28" t="n">
        <x:f>SUMIFS('Categorias'!$F$4:$F$1347,'Categorias'!$E$4:$E$1347,B36,'Categorias'!$A$4:$A$1347,D$3)</x:f>
        <x:v>1952354</x:v>
      </x:c>
      <x:c r="E36" s="28" t="n">
        <x:f>SUMIFS('Categorias'!$F$4:$F$1347,'Categorias'!$E$4:$E$1347,B36,'Categorias'!$A$4:$A$1347,E$3)</x:f>
        <x:v>226879</x:v>
      </x:c>
      <x:c r="F36" s="28" t="n">
        <x:f>SUMIFS('Categorias'!$F$4:$F$1347,'Categorias'!$E$4:$E$1347,B36,'Categorias'!$A$4:$A$1347,F$3)</x:f>
        <x:v>8542</x:v>
      </x:c>
      <x:c r="G36" s="28" t="n">
        <x:f>SUMIFS('Categorias'!$F$4:$F$1347,'Categorias'!$E$4:$E$1347,B36,'Categorias'!$A$4:$A$1347,G$3)</x:f>
        <x:v>0</x:v>
      </x:c>
      <x:c r="H36" s="28" t="n">
        <x:f>SUMIFS('Categorias'!$F$4:$F$1347,'Categorias'!$E$4:$E$1347,B36,'Categorias'!$A$4:$A$1347,H$3)</x:f>
        <x:v>121422</x:v>
      </x:c>
      <x:c r="I36" s="28" t="n">
        <x:f>SUMIFS('Categorias'!$F$4:$F$1347,'Categorias'!$E$4:$E$1347,B36,'Categorias'!$A$4:$A$1347,I$3)</x:f>
        <x:v>4689</x:v>
      </x:c>
      <x:c r="J36" s="28" t="n">
        <x:f>SUMIFS('Categorias'!$F$4:$F$1347,'Categorias'!$E$4:$E$1347,B36,'Categorias'!$A$4:$A$1347,J$3)</x:f>
        <x:v>41303</x:v>
      </x:c>
      <x:c r="K36" s="28" t="n">
        <x:f>SUMIFS('Categorias'!$F$4:$F$1347,'Categorias'!$E$4:$E$1347,B36,'Categorias'!$A$4:$A$1347,K$3)</x:f>
        <x:v>0</x:v>
      </x:c>
      <x:c r="L36" s="28" t="n">
        <x:f>SUMIFS('Categorias'!$F$4:$F$1347,'Categorias'!$E$4:$E$1347,B36,'Categorias'!$A$4:$A$1347,L$3)</x:f>
        <x:v>168</x:v>
      </x:c>
      <x:c r="M36" s="28" t="n">
        <x:f>SUMIFS('Categorias'!$F$4:$F$1347,'Categorias'!$E$4:$E$1347,B36,'Categorias'!$A$4:$A$1347,M$3)</x:f>
        <x:v>0</x:v>
      </x:c>
      <x:c r="N36" s="47" t="n">
        <x:f>SUMIFS('Categorias'!$F$4:$F$1347,'Categorias'!$E$4:$E$1347,B36,'Categorias'!$A$4:$A$1347,N$3)</x:f>
        <x:v>0</x:v>
      </x:c>
    </x:row>
    <x:row r="37">
      <x:c r="A37" s="39" t="n">
        <x:f>RANK.EQ(C37,$C$4:$C$273,0)</x:f>
        <x:v>34</x:v>
      </x:c>
      <x:c r="B37" s="40" t="str">
        <x:v>theYousek</x:v>
      </x:c>
      <x:c r="C37" s="28" t="n">
        <x:f>SUMIF('Categorias'!$E$4:$E$1347,B37,'Categorias'!$F$4:$F$1347)</x:f>
        <x:v>2332054</x:v>
      </x:c>
      <x:c r="D37" s="28" t="n">
        <x:f>SUMIFS('Categorias'!$F$4:$F$1347,'Categorias'!$E$4:$E$1347,B37,'Categorias'!$A$4:$A$1347,D$3)</x:f>
        <x:v>1955190</x:v>
      </x:c>
      <x:c r="E37" s="28" t="n">
        <x:f>SUMIFS('Categorias'!$F$4:$F$1347,'Categorias'!$E$4:$E$1347,B37,'Categorias'!$A$4:$A$1347,E$3)</x:f>
        <x:v>78944</x:v>
      </x:c>
      <x:c r="F37" s="28" t="n">
        <x:f>SUMIFS('Categorias'!$F$4:$F$1347,'Categorias'!$E$4:$E$1347,B37,'Categorias'!$A$4:$A$1347,F$3)</x:f>
        <x:v>8441</x:v>
      </x:c>
      <x:c r="G37" s="28" t="n">
        <x:f>SUMIFS('Categorias'!$F$4:$F$1347,'Categorias'!$E$4:$E$1347,B37,'Categorias'!$A$4:$A$1347,G$3)</x:f>
        <x:v>52704</x:v>
      </x:c>
      <x:c r="H37" s="28" t="n">
        <x:f>SUMIFS('Categorias'!$F$4:$F$1347,'Categorias'!$E$4:$E$1347,B37,'Categorias'!$A$4:$A$1347,H$3)</x:f>
        <x:v>37029</x:v>
      </x:c>
      <x:c r="I37" s="28" t="n">
        <x:f>SUMIFS('Categorias'!$F$4:$F$1347,'Categorias'!$E$4:$E$1347,B37,'Categorias'!$A$4:$A$1347,I$3)</x:f>
        <x:v>21667</x:v>
      </x:c>
      <x:c r="J37" s="28" t="n">
        <x:f>SUMIFS('Categorias'!$F$4:$F$1347,'Categorias'!$E$4:$E$1347,B37,'Categorias'!$A$4:$A$1347,J$3)</x:f>
        <x:v>60109</x:v>
      </x:c>
      <x:c r="K37" s="28" t="n">
        <x:f>SUMIFS('Categorias'!$F$4:$F$1347,'Categorias'!$E$4:$E$1347,B37,'Categorias'!$A$4:$A$1347,K$3)</x:f>
        <x:v>0</x:v>
      </x:c>
      <x:c r="L37" s="28" t="n">
        <x:f>SUMIFS('Categorias'!$F$4:$F$1347,'Categorias'!$E$4:$E$1347,B37,'Categorias'!$A$4:$A$1347,L$3)</x:f>
        <x:v>101816</x:v>
      </x:c>
      <x:c r="M37" s="28" t="n">
        <x:f>SUMIFS('Categorias'!$F$4:$F$1347,'Categorias'!$E$4:$E$1347,B37,'Categorias'!$A$4:$A$1347,M$3)</x:f>
        <x:v>0</x:v>
      </x:c>
      <x:c r="N37" s="47" t="n">
        <x:f>SUMIFS('Categorias'!$F$4:$F$1347,'Categorias'!$E$4:$E$1347,B37,'Categorias'!$A$4:$A$1347,N$3)</x:f>
        <x:v>16154</x:v>
      </x:c>
    </x:row>
    <x:row r="38">
      <x:c r="A38" s="39" t="n">
        <x:f>RANK.EQ(C38,$C$4:$C$273,0)</x:f>
        <x:v>35</x:v>
      </x:c>
      <x:c r="B38" s="40" t="str">
        <x:v>BrEnnD</x:v>
      </x:c>
      <x:c r="C38" s="28" t="n">
        <x:f>SUMIF('Categorias'!$E$4:$E$1347,B38,'Categorias'!$F$4:$F$1347)</x:f>
        <x:v>2273303</x:v>
      </x:c>
      <x:c r="D38" s="28" t="n">
        <x:f>SUMIFS('Categorias'!$F$4:$F$1347,'Categorias'!$E$4:$E$1347,B38,'Categorias'!$A$4:$A$1347,D$3)</x:f>
        <x:v>2011435</x:v>
      </x:c>
      <x:c r="E38" s="28" t="n">
        <x:f>SUMIFS('Categorias'!$F$4:$F$1347,'Categorias'!$E$4:$E$1347,B38,'Categorias'!$A$4:$A$1347,E$3)</x:f>
        <x:v>103023</x:v>
      </x:c>
      <x:c r="F38" s="28" t="n">
        <x:f>SUMIFS('Categorias'!$F$4:$F$1347,'Categorias'!$E$4:$E$1347,B38,'Categorias'!$A$4:$A$1347,F$3)</x:f>
        <x:v>11139</x:v>
      </x:c>
      <x:c r="G38" s="28" t="n">
        <x:f>SUMIFS('Categorias'!$F$4:$F$1347,'Categorias'!$E$4:$E$1347,B38,'Categorias'!$A$4:$A$1347,G$3)</x:f>
        <x:v>21752</x:v>
      </x:c>
      <x:c r="H38" s="28" t="n">
        <x:f>SUMIFS('Categorias'!$F$4:$F$1347,'Categorias'!$E$4:$E$1347,B38,'Categorias'!$A$4:$A$1347,H$3)</x:f>
        <x:v>24975</x:v>
      </x:c>
      <x:c r="I38" s="28" t="n">
        <x:f>SUMIFS('Categorias'!$F$4:$F$1347,'Categorias'!$E$4:$E$1347,B38,'Categorias'!$A$4:$A$1347,I$3)</x:f>
        <x:v>56171</x:v>
      </x:c>
      <x:c r="J38" s="28" t="n">
        <x:f>SUMIFS('Categorias'!$F$4:$F$1347,'Categorias'!$E$4:$E$1347,B38,'Categorias'!$A$4:$A$1347,J$3)</x:f>
        <x:v>42384</x:v>
      </x:c>
      <x:c r="K38" s="28" t="n">
        <x:f>SUMIFS('Categorias'!$F$4:$F$1347,'Categorias'!$E$4:$E$1347,B38,'Categorias'!$A$4:$A$1347,K$3)</x:f>
        <x:v>0</x:v>
      </x:c>
      <x:c r="L38" s="28" t="n">
        <x:f>SUMIFS('Categorias'!$F$4:$F$1347,'Categorias'!$E$4:$E$1347,B38,'Categorias'!$A$4:$A$1347,L$3)</x:f>
        <x:v>2424</x:v>
      </x:c>
      <x:c r="M38" s="28" t="n">
        <x:f>SUMIFS('Categorias'!$F$4:$F$1347,'Categorias'!$E$4:$E$1347,B38,'Categorias'!$A$4:$A$1347,M$3)</x:f>
        <x:v>0</x:v>
      </x:c>
      <x:c r="N38" s="47" t="n">
        <x:f>SUMIFS('Categorias'!$F$4:$F$1347,'Categorias'!$E$4:$E$1347,B38,'Categorias'!$A$4:$A$1347,N$3)</x:f>
        <x:v>0</x:v>
      </x:c>
    </x:row>
    <x:row r="39">
      <x:c r="A39" s="39" t="n">
        <x:f>RANK.EQ(C39,$C$4:$C$273,0)</x:f>
        <x:v>36</x:v>
      </x:c>
      <x:c r="B39" s="40" t="str">
        <x:v>LipeFuab</x:v>
      </x:c>
      <x:c r="C39" s="28" t="n">
        <x:f>SUMIF('Categorias'!$E$4:$E$1347,B39,'Categorias'!$F$4:$F$1347)</x:f>
        <x:v>2169230</x:v>
      </x:c>
      <x:c r="D39" s="28" t="n">
        <x:f>SUMIFS('Categorias'!$F$4:$F$1347,'Categorias'!$E$4:$E$1347,B39,'Categorias'!$A$4:$A$1347,D$3)</x:f>
        <x:v>1669077</x:v>
      </x:c>
      <x:c r="E39" s="28" t="n">
        <x:f>SUMIFS('Categorias'!$F$4:$F$1347,'Categorias'!$E$4:$E$1347,B39,'Categorias'!$A$4:$A$1347,E$3)</x:f>
        <x:v>278863</x:v>
      </x:c>
      <x:c r="F39" s="28" t="n">
        <x:f>SUMIFS('Categorias'!$F$4:$F$1347,'Categorias'!$E$4:$E$1347,B39,'Categorias'!$A$4:$A$1347,F$3)</x:f>
        <x:v>1733</x:v>
      </x:c>
      <x:c r="G39" s="28" t="n">
        <x:f>SUMIFS('Categorias'!$F$4:$F$1347,'Categorias'!$E$4:$E$1347,B39,'Categorias'!$A$4:$A$1347,G$3)</x:f>
        <x:v>94594</x:v>
      </x:c>
      <x:c r="H39" s="28" t="n">
        <x:f>SUMIFS('Categorias'!$F$4:$F$1347,'Categorias'!$E$4:$E$1347,B39,'Categorias'!$A$4:$A$1347,H$3)</x:f>
        <x:v>20654</x:v>
      </x:c>
      <x:c r="I39" s="28" t="n">
        <x:f>SUMIFS('Categorias'!$F$4:$F$1347,'Categorias'!$E$4:$E$1347,B39,'Categorias'!$A$4:$A$1347,I$3)</x:f>
        <x:v>57284</x:v>
      </x:c>
      <x:c r="J39" s="28" t="n">
        <x:f>SUMIFS('Categorias'!$F$4:$F$1347,'Categorias'!$E$4:$E$1347,B39,'Categorias'!$A$4:$A$1347,J$3)</x:f>
        <x:v>47025</x:v>
      </x:c>
      <x:c r="K39" s="28" t="n">
        <x:f>SUMIFS('Categorias'!$F$4:$F$1347,'Categorias'!$E$4:$E$1347,B39,'Categorias'!$A$4:$A$1347,K$3)</x:f>
        <x:v>0</x:v>
      </x:c>
      <x:c r="L39" s="28" t="n">
        <x:f>SUMIFS('Categorias'!$F$4:$F$1347,'Categorias'!$E$4:$E$1347,B39,'Categorias'!$A$4:$A$1347,L$3)</x:f>
        <x:v>0</x:v>
      </x:c>
      <x:c r="M39" s="28" t="n">
        <x:f>SUMIFS('Categorias'!$F$4:$F$1347,'Categorias'!$E$4:$E$1347,B39,'Categorias'!$A$4:$A$1347,M$3)</x:f>
        <x:v>0</x:v>
      </x:c>
      <x:c r="N39" s="47" t="n">
        <x:f>SUMIFS('Categorias'!$F$4:$F$1347,'Categorias'!$E$4:$E$1347,B39,'Categorias'!$A$4:$A$1347,N$3)</x:f>
        <x:v>0</x:v>
      </x:c>
    </x:row>
    <x:row r="40">
      <x:c r="A40" s="39" t="n">
        <x:f>RANK.EQ(C40,$C$4:$C$273,0)</x:f>
        <x:v>37</x:v>
      </x:c>
      <x:c r="B40" s="40" t="str">
        <x:v>hardfedles</x:v>
      </x:c>
      <x:c r="C40" s="28" t="n">
        <x:f>SUMIF('Categorias'!$E$4:$E$1347,B40,'Categorias'!$F$4:$F$1347)</x:f>
        <x:v>2155567</x:v>
      </x:c>
      <x:c r="D40" s="28" t="n">
        <x:f>SUMIFS('Categorias'!$F$4:$F$1347,'Categorias'!$E$4:$E$1347,B40,'Categorias'!$A$4:$A$1347,D$3)</x:f>
        <x:v>1461299</x:v>
      </x:c>
      <x:c r="E40" s="28" t="n">
        <x:f>SUMIFS('Categorias'!$F$4:$F$1347,'Categorias'!$E$4:$E$1347,B40,'Categorias'!$A$4:$A$1347,E$3)</x:f>
        <x:v>167656</x:v>
      </x:c>
      <x:c r="F40" s="28" t="n">
        <x:f>SUMIFS('Categorias'!$F$4:$F$1347,'Categorias'!$E$4:$E$1347,B40,'Categorias'!$A$4:$A$1347,F$3)</x:f>
        <x:v>11794</x:v>
      </x:c>
      <x:c r="G40" s="28" t="n">
        <x:f>SUMIFS('Categorias'!$F$4:$F$1347,'Categorias'!$E$4:$E$1347,B40,'Categorias'!$A$4:$A$1347,G$3)</x:f>
        <x:v>0</x:v>
      </x:c>
      <x:c r="H40" s="28" t="n">
        <x:f>SUMIFS('Categorias'!$F$4:$F$1347,'Categorias'!$E$4:$E$1347,B40,'Categorias'!$A$4:$A$1347,H$3)</x:f>
        <x:v>122546</x:v>
      </x:c>
      <x:c r="I40" s="28" t="n">
        <x:f>SUMIFS('Categorias'!$F$4:$F$1347,'Categorias'!$E$4:$E$1347,B40,'Categorias'!$A$4:$A$1347,I$3)</x:f>
        <x:v>19879</x:v>
      </x:c>
      <x:c r="J40" s="28" t="n">
        <x:f>SUMIFS('Categorias'!$F$4:$F$1347,'Categorias'!$E$4:$E$1347,B40,'Categorias'!$A$4:$A$1347,J$3)</x:f>
        <x:v>370209</x:v>
      </x:c>
      <x:c r="K40" s="28" t="n">
        <x:f>SUMIFS('Categorias'!$F$4:$F$1347,'Categorias'!$E$4:$E$1347,B40,'Categorias'!$A$4:$A$1347,K$3)</x:f>
        <x:v>0</x:v>
      </x:c>
      <x:c r="L40" s="28" t="n">
        <x:f>SUMIFS('Categorias'!$F$4:$F$1347,'Categorias'!$E$4:$E$1347,B40,'Categorias'!$A$4:$A$1347,L$3)</x:f>
        <x:v>2184</x:v>
      </x:c>
      <x:c r="M40" s="28" t="n">
        <x:f>SUMIFS('Categorias'!$F$4:$F$1347,'Categorias'!$E$4:$E$1347,B40,'Categorias'!$A$4:$A$1347,M$3)</x:f>
        <x:v>0</x:v>
      </x:c>
      <x:c r="N40" s="47" t="n">
        <x:f>SUMIFS('Categorias'!$F$4:$F$1347,'Categorias'!$E$4:$E$1347,B40,'Categorias'!$A$4:$A$1347,N$3)</x:f>
        <x:v>0</x:v>
      </x:c>
    </x:row>
    <x:row r="41">
      <x:c r="A41" s="39" t="n">
        <x:f>RANK.EQ(C41,$C$4:$C$273,0)</x:f>
        <x:v>38</x:v>
      </x:c>
      <x:c r="B41" s="40" t="str">
        <x:v>Lamusk</x:v>
      </x:c>
      <x:c r="C41" s="28" t="n">
        <x:f>SUMIF('Categorias'!$E$4:$E$1347,B41,'Categorias'!$F$4:$F$1347)</x:f>
        <x:v>2115996</x:v>
      </x:c>
      <x:c r="D41" s="28" t="n">
        <x:f>SUMIFS('Categorias'!$F$4:$F$1347,'Categorias'!$E$4:$E$1347,B41,'Categorias'!$A$4:$A$1347,D$3)</x:f>
        <x:v>1690890</x:v>
      </x:c>
      <x:c r="E41" s="28" t="n">
        <x:f>SUMIFS('Categorias'!$F$4:$F$1347,'Categorias'!$E$4:$E$1347,B41,'Categorias'!$A$4:$A$1347,E$3)</x:f>
        <x:v>199205</x:v>
      </x:c>
      <x:c r="F41" s="28" t="n">
        <x:f>SUMIFS('Categorias'!$F$4:$F$1347,'Categorias'!$E$4:$E$1347,B41,'Categorias'!$A$4:$A$1347,F$3)</x:f>
        <x:v>9741</x:v>
      </x:c>
      <x:c r="G41" s="28" t="n">
        <x:f>SUMIFS('Categorias'!$F$4:$F$1347,'Categorias'!$E$4:$E$1347,B41,'Categorias'!$A$4:$A$1347,G$3)</x:f>
        <x:v>42970</x:v>
      </x:c>
      <x:c r="H41" s="28" t="n">
        <x:f>SUMIFS('Categorias'!$F$4:$F$1347,'Categorias'!$E$4:$E$1347,B41,'Categorias'!$A$4:$A$1347,H$3)</x:f>
        <x:v>41935</x:v>
      </x:c>
      <x:c r="I41" s="28" t="n">
        <x:f>SUMIFS('Categorias'!$F$4:$F$1347,'Categorias'!$E$4:$E$1347,B41,'Categorias'!$A$4:$A$1347,I$3)</x:f>
        <x:v>52829</x:v>
      </x:c>
      <x:c r="J41" s="28" t="n">
        <x:f>SUMIFS('Categorias'!$F$4:$F$1347,'Categorias'!$E$4:$E$1347,B41,'Categorias'!$A$4:$A$1347,J$3)</x:f>
        <x:v>73371</x:v>
      </x:c>
      <x:c r="K41" s="28" t="n">
        <x:f>SUMIFS('Categorias'!$F$4:$F$1347,'Categorias'!$E$4:$E$1347,B41,'Categorias'!$A$4:$A$1347,K$3)</x:f>
        <x:v>0</x:v>
      </x:c>
      <x:c r="L41" s="28" t="n">
        <x:f>SUMIFS('Categorias'!$F$4:$F$1347,'Categorias'!$E$4:$E$1347,B41,'Categorias'!$A$4:$A$1347,L$3)</x:f>
        <x:v>1392</x:v>
      </x:c>
      <x:c r="M41" s="28" t="n">
        <x:f>SUMIFS('Categorias'!$F$4:$F$1347,'Categorias'!$E$4:$E$1347,B41,'Categorias'!$A$4:$A$1347,M$3)</x:f>
        <x:v>0</x:v>
      </x:c>
      <x:c r="N41" s="47" t="n">
        <x:f>SUMIFS('Categorias'!$F$4:$F$1347,'Categorias'!$E$4:$E$1347,B41,'Categorias'!$A$4:$A$1347,N$3)</x:f>
        <x:v>3663</x:v>
      </x:c>
    </x:row>
    <x:row r="42">
      <x:c r="A42" s="39" t="n">
        <x:f>RANK.EQ(C42,$C$4:$C$273,0)</x:f>
        <x:v>39</x:v>
      </x:c>
      <x:c r="B42" s="40" t="str">
        <x:v>Natsury</x:v>
      </x:c>
      <x:c r="C42" s="28" t="n">
        <x:f>SUMIF('Categorias'!$E$4:$E$1347,B42,'Categorias'!$F$4:$F$1347)</x:f>
        <x:v>2028627</x:v>
      </x:c>
      <x:c r="D42" s="28" t="n">
        <x:f>SUMIFS('Categorias'!$F$4:$F$1347,'Categorias'!$E$4:$E$1347,B42,'Categorias'!$A$4:$A$1347,D$3)</x:f>
        <x:v>1633355</x:v>
      </x:c>
      <x:c r="E42" s="28" t="n">
        <x:f>SUMIFS('Categorias'!$F$4:$F$1347,'Categorias'!$E$4:$E$1347,B42,'Categorias'!$A$4:$A$1347,E$3)</x:f>
        <x:v>158385</x:v>
      </x:c>
      <x:c r="F42" s="28" t="n">
        <x:f>SUMIFS('Categorias'!$F$4:$F$1347,'Categorias'!$E$4:$E$1347,B42,'Categorias'!$A$4:$A$1347,F$3)</x:f>
        <x:v>4265</x:v>
      </x:c>
      <x:c r="G42" s="28" t="n">
        <x:f>SUMIFS('Categorias'!$F$4:$F$1347,'Categorias'!$E$4:$E$1347,B42,'Categorias'!$A$4:$A$1347,G$3)</x:f>
        <x:v>82626</x:v>
      </x:c>
      <x:c r="H42" s="28" t="n">
        <x:f>SUMIFS('Categorias'!$F$4:$F$1347,'Categorias'!$E$4:$E$1347,B42,'Categorias'!$A$4:$A$1347,H$3)</x:f>
        <x:v>25074</x:v>
      </x:c>
      <x:c r="I42" s="28" t="n">
        <x:f>SUMIFS('Categorias'!$F$4:$F$1347,'Categorias'!$E$4:$E$1347,B42,'Categorias'!$A$4:$A$1347,I$3)</x:f>
        <x:v>77398</x:v>
      </x:c>
      <x:c r="J42" s="28" t="n">
        <x:f>SUMIFS('Categorias'!$F$4:$F$1347,'Categorias'!$E$4:$E$1347,B42,'Categorias'!$A$4:$A$1347,J$3)</x:f>
        <x:v>30674</x:v>
      </x:c>
      <x:c r="K42" s="28" t="n">
        <x:f>SUMIFS('Categorias'!$F$4:$F$1347,'Categorias'!$E$4:$E$1347,B42,'Categorias'!$A$4:$A$1347,K$3)</x:f>
        <x:v>0</x:v>
      </x:c>
      <x:c r="L42" s="28" t="n">
        <x:f>SUMIFS('Categorias'!$F$4:$F$1347,'Categorias'!$E$4:$E$1347,B42,'Categorias'!$A$4:$A$1347,L$3)</x:f>
        <x:v>4362</x:v>
      </x:c>
      <x:c r="M42" s="28" t="n">
        <x:f>SUMIFS('Categorias'!$F$4:$F$1347,'Categorias'!$E$4:$E$1347,B42,'Categorias'!$A$4:$A$1347,M$3)</x:f>
        <x:v>0</x:v>
      </x:c>
      <x:c r="N42" s="47" t="n">
        <x:f>SUMIFS('Categorias'!$F$4:$F$1347,'Categorias'!$E$4:$E$1347,B42,'Categorias'!$A$4:$A$1347,N$3)</x:f>
        <x:v>12488</x:v>
      </x:c>
    </x:row>
    <x:row r="43">
      <x:c r="A43" s="39" t="n">
        <x:f>RANK.EQ(C43,$C$4:$C$273,0)</x:f>
        <x:v>40</x:v>
      </x:c>
      <x:c r="B43" s="40" t="str">
        <x:v>Cominhos</x:v>
      </x:c>
      <x:c r="C43" s="28" t="n">
        <x:f>SUMIF('Categorias'!$E$4:$E$1347,B43,'Categorias'!$F$4:$F$1347)</x:f>
        <x:v>2027387</x:v>
      </x:c>
      <x:c r="D43" s="28" t="n">
        <x:f>SUMIFS('Categorias'!$F$4:$F$1347,'Categorias'!$E$4:$E$1347,B43,'Categorias'!$A$4:$A$1347,D$3)</x:f>
        <x:v>1498697</x:v>
      </x:c>
      <x:c r="E43" s="28" t="n">
        <x:f>SUMIFS('Categorias'!$F$4:$F$1347,'Categorias'!$E$4:$E$1347,B43,'Categorias'!$A$4:$A$1347,E$3)</x:f>
        <x:v>206287</x:v>
      </x:c>
      <x:c r="F43" s="28" t="n">
        <x:f>SUMIFS('Categorias'!$F$4:$F$1347,'Categorias'!$E$4:$E$1347,B43,'Categorias'!$A$4:$A$1347,F$3)</x:f>
        <x:v>8751</x:v>
      </x:c>
      <x:c r="G43" s="28" t="n">
        <x:f>SUMIFS('Categorias'!$F$4:$F$1347,'Categorias'!$E$4:$E$1347,B43,'Categorias'!$A$4:$A$1347,G$3)</x:f>
        <x:v>57580</x:v>
      </x:c>
      <x:c r="H43" s="28" t="n">
        <x:f>SUMIFS('Categorias'!$F$4:$F$1347,'Categorias'!$E$4:$E$1347,B43,'Categorias'!$A$4:$A$1347,H$3)</x:f>
        <x:v>30293</x:v>
      </x:c>
      <x:c r="I43" s="28" t="n">
        <x:f>SUMIFS('Categorias'!$F$4:$F$1347,'Categorias'!$E$4:$E$1347,B43,'Categorias'!$A$4:$A$1347,I$3)</x:f>
        <x:v>147408</x:v>
      </x:c>
      <x:c r="J43" s="28" t="n">
        <x:f>SUMIFS('Categorias'!$F$4:$F$1347,'Categorias'!$E$4:$E$1347,B43,'Categorias'!$A$4:$A$1347,J$3)</x:f>
        <x:v>11792</x:v>
      </x:c>
      <x:c r="K43" s="28" t="n">
        <x:f>SUMIFS('Categorias'!$F$4:$F$1347,'Categorias'!$E$4:$E$1347,B43,'Categorias'!$A$4:$A$1347,K$3)</x:f>
        <x:v>557</x:v>
      </x:c>
      <x:c r="L43" s="28" t="n">
        <x:f>SUMIFS('Categorias'!$F$4:$F$1347,'Categorias'!$E$4:$E$1347,B43,'Categorias'!$A$4:$A$1347,L$3)</x:f>
        <x:v>6793</x:v>
      </x:c>
      <x:c r="M43" s="28" t="n">
        <x:f>SUMIFS('Categorias'!$F$4:$F$1347,'Categorias'!$E$4:$E$1347,B43,'Categorias'!$A$4:$A$1347,M$3)</x:f>
        <x:v>0</x:v>
      </x:c>
      <x:c r="N43" s="47" t="n">
        <x:f>SUMIFS('Categorias'!$F$4:$F$1347,'Categorias'!$E$4:$E$1347,B43,'Categorias'!$A$4:$A$1347,N$3)</x:f>
        <x:v>59229</x:v>
      </x:c>
    </x:row>
    <x:row r="44">
      <x:c r="A44" s="39" t="n">
        <x:f>RANK.EQ(C44,$C$4:$C$273,0)</x:f>
        <x:v>41</x:v>
      </x:c>
      <x:c r="B44" s="40" t="str">
        <x:v>Patolas</x:v>
      </x:c>
      <x:c r="C44" s="28" t="n">
        <x:f>SUMIF('Categorias'!$E$4:$E$1347,B44,'Categorias'!$F$4:$F$1347)</x:f>
        <x:v>2008248</x:v>
      </x:c>
      <x:c r="D44" s="28" t="n">
        <x:f>SUMIFS('Categorias'!$F$4:$F$1347,'Categorias'!$E$4:$E$1347,B44,'Categorias'!$A$4:$A$1347,D$3)</x:f>
        <x:v>1426502</x:v>
      </x:c>
      <x:c r="E44" s="28" t="n">
        <x:f>SUMIFS('Categorias'!$F$4:$F$1347,'Categorias'!$E$4:$E$1347,B44,'Categorias'!$A$4:$A$1347,E$3)</x:f>
        <x:v>139283</x:v>
      </x:c>
      <x:c r="F44" s="28" t="n">
        <x:f>SUMIFS('Categorias'!$F$4:$F$1347,'Categorias'!$E$4:$E$1347,B44,'Categorias'!$A$4:$A$1347,F$3)</x:f>
        <x:v>68582</x:v>
      </x:c>
      <x:c r="G44" s="28" t="n">
        <x:f>SUMIFS('Categorias'!$F$4:$F$1347,'Categorias'!$E$4:$E$1347,B44,'Categorias'!$A$4:$A$1347,G$3)</x:f>
        <x:v>123233</x:v>
      </x:c>
      <x:c r="H44" s="28" t="n">
        <x:f>SUMIFS('Categorias'!$F$4:$F$1347,'Categorias'!$E$4:$E$1347,B44,'Categorias'!$A$4:$A$1347,H$3)</x:f>
        <x:v>30470</x:v>
      </x:c>
      <x:c r="I44" s="28" t="n">
        <x:f>SUMIFS('Categorias'!$F$4:$F$1347,'Categorias'!$E$4:$E$1347,B44,'Categorias'!$A$4:$A$1347,I$3)</x:f>
        <x:v>154697</x:v>
      </x:c>
      <x:c r="J44" s="28" t="n">
        <x:f>SUMIFS('Categorias'!$F$4:$F$1347,'Categorias'!$E$4:$E$1347,B44,'Categorias'!$A$4:$A$1347,J$3)</x:f>
        <x:v>52424</x:v>
      </x:c>
      <x:c r="K44" s="28" t="n">
        <x:f>SUMIFS('Categorias'!$F$4:$F$1347,'Categorias'!$E$4:$E$1347,B44,'Categorias'!$A$4:$A$1347,K$3)</x:f>
        <x:v>0</x:v>
      </x:c>
      <x:c r="L44" s="28" t="n">
        <x:f>SUMIFS('Categorias'!$F$4:$F$1347,'Categorias'!$E$4:$E$1347,B44,'Categorias'!$A$4:$A$1347,L$3)</x:f>
        <x:v>0</x:v>
      </x:c>
      <x:c r="M44" s="28" t="n">
        <x:f>SUMIFS('Categorias'!$F$4:$F$1347,'Categorias'!$E$4:$E$1347,B44,'Categorias'!$A$4:$A$1347,M$3)</x:f>
        <x:v>0</x:v>
      </x:c>
      <x:c r="N44" s="47" t="n">
        <x:f>SUMIFS('Categorias'!$F$4:$F$1347,'Categorias'!$E$4:$E$1347,B44,'Categorias'!$A$4:$A$1347,N$3)</x:f>
        <x:v>13057</x:v>
      </x:c>
    </x:row>
    <x:row r="45">
      <x:c r="A45" s="39" t="n">
        <x:f>RANK.EQ(C45,$C$4:$C$273,0)</x:f>
        <x:v>42</x:v>
      </x:c>
      <x:c r="B45" s="40" t="str">
        <x:v>Jmbv</x:v>
      </x:c>
      <x:c r="C45" s="28" t="n">
        <x:f>SUMIF('Categorias'!$E$4:$E$1347,B45,'Categorias'!$F$4:$F$1347)</x:f>
        <x:v>1984370</x:v>
      </x:c>
      <x:c r="D45" s="28" t="n">
        <x:f>SUMIFS('Categorias'!$F$4:$F$1347,'Categorias'!$E$4:$E$1347,B45,'Categorias'!$A$4:$A$1347,D$3)</x:f>
        <x:v>1398746</x:v>
      </x:c>
      <x:c r="E45" s="28" t="n">
        <x:f>SUMIFS('Categorias'!$F$4:$F$1347,'Categorias'!$E$4:$E$1347,B45,'Categorias'!$A$4:$A$1347,E$3)</x:f>
        <x:v>143799</x:v>
      </x:c>
      <x:c r="F45" s="28" t="n">
        <x:f>SUMIFS('Categorias'!$F$4:$F$1347,'Categorias'!$E$4:$E$1347,B45,'Categorias'!$A$4:$A$1347,F$3)</x:f>
        <x:v>13168</x:v>
      </x:c>
      <x:c r="G45" s="28" t="n">
        <x:f>SUMIFS('Categorias'!$F$4:$F$1347,'Categorias'!$E$4:$E$1347,B45,'Categorias'!$A$4:$A$1347,G$3)</x:f>
        <x:v>146588</x:v>
      </x:c>
      <x:c r="H45" s="28" t="n">
        <x:f>SUMIFS('Categorias'!$F$4:$F$1347,'Categorias'!$E$4:$E$1347,B45,'Categorias'!$A$4:$A$1347,H$3)</x:f>
        <x:v>75833</x:v>
      </x:c>
      <x:c r="I45" s="28" t="n">
        <x:f>SUMIFS('Categorias'!$F$4:$F$1347,'Categorias'!$E$4:$E$1347,B45,'Categorias'!$A$4:$A$1347,I$3)</x:f>
        <x:v>53520</x:v>
      </x:c>
      <x:c r="J45" s="28" t="n">
        <x:f>SUMIFS('Categorias'!$F$4:$F$1347,'Categorias'!$E$4:$E$1347,B45,'Categorias'!$A$4:$A$1347,J$3)</x:f>
        <x:v>124635</x:v>
      </x:c>
      <x:c r="K45" s="28" t="n">
        <x:f>SUMIFS('Categorias'!$F$4:$F$1347,'Categorias'!$E$4:$E$1347,B45,'Categorias'!$A$4:$A$1347,K$3)</x:f>
        <x:v>0</x:v>
      </x:c>
      <x:c r="L45" s="28" t="n">
        <x:f>SUMIFS('Categorias'!$F$4:$F$1347,'Categorias'!$E$4:$E$1347,B45,'Categorias'!$A$4:$A$1347,L$3)</x:f>
        <x:v>2946</x:v>
      </x:c>
      <x:c r="M45" s="28" t="n">
        <x:f>SUMIFS('Categorias'!$F$4:$F$1347,'Categorias'!$E$4:$E$1347,B45,'Categorias'!$A$4:$A$1347,M$3)</x:f>
        <x:v>0</x:v>
      </x:c>
      <x:c r="N45" s="47" t="n">
        <x:f>SUMIFS('Categorias'!$F$4:$F$1347,'Categorias'!$E$4:$E$1347,B45,'Categorias'!$A$4:$A$1347,N$3)</x:f>
        <x:v>25135</x:v>
      </x:c>
    </x:row>
    <x:row r="46">
      <x:c r="A46" s="39" t="n">
        <x:f>RANK.EQ(C46,$C$4:$C$273,0)</x:f>
        <x:v>43</x:v>
      </x:c>
      <x:c r="B46" s="40" t="str">
        <x:v>Soldier027</x:v>
      </x:c>
      <x:c r="C46" s="28" t="n">
        <x:f>SUMIF('Categorias'!$E$4:$E$1347,B46,'Categorias'!$F$4:$F$1347)</x:f>
        <x:v>1814899</x:v>
      </x:c>
      <x:c r="D46" s="28" t="n">
        <x:f>SUMIFS('Categorias'!$F$4:$F$1347,'Categorias'!$E$4:$E$1347,B46,'Categorias'!$A$4:$A$1347,D$3)</x:f>
        <x:v>1171640</x:v>
      </x:c>
      <x:c r="E46" s="28" t="n">
        <x:f>SUMIFS('Categorias'!$F$4:$F$1347,'Categorias'!$E$4:$E$1347,B46,'Categorias'!$A$4:$A$1347,E$3)</x:f>
        <x:v>93772</x:v>
      </x:c>
      <x:c r="F46" s="28" t="n">
        <x:f>SUMIFS('Categorias'!$F$4:$F$1347,'Categorias'!$E$4:$E$1347,B46,'Categorias'!$A$4:$A$1347,F$3)</x:f>
        <x:v>30895</x:v>
      </x:c>
      <x:c r="G46" s="28" t="n">
        <x:f>SUMIFS('Categorias'!$F$4:$F$1347,'Categorias'!$E$4:$E$1347,B46,'Categorias'!$A$4:$A$1347,G$3)</x:f>
        <x:v>193103</x:v>
      </x:c>
      <x:c r="H46" s="28" t="n">
        <x:f>SUMIFS('Categorias'!$F$4:$F$1347,'Categorias'!$E$4:$E$1347,B46,'Categorias'!$A$4:$A$1347,H$3)</x:f>
        <x:v>42899</x:v>
      </x:c>
      <x:c r="I46" s="28" t="n">
        <x:f>SUMIFS('Categorias'!$F$4:$F$1347,'Categorias'!$E$4:$E$1347,B46,'Categorias'!$A$4:$A$1347,I$3)</x:f>
        <x:v>146110</x:v>
      </x:c>
      <x:c r="J46" s="28" t="n">
        <x:f>SUMIFS('Categorias'!$F$4:$F$1347,'Categorias'!$E$4:$E$1347,B46,'Categorias'!$A$4:$A$1347,J$3)</x:f>
        <x:v>127364</x:v>
      </x:c>
      <x:c r="K46" s="28" t="n">
        <x:f>SUMIFS('Categorias'!$F$4:$F$1347,'Categorias'!$E$4:$E$1347,B46,'Categorias'!$A$4:$A$1347,K$3)</x:f>
        <x:v>0</x:v>
      </x:c>
      <x:c r="L46" s="28" t="n">
        <x:f>SUMIFS('Categorias'!$F$4:$F$1347,'Categorias'!$E$4:$E$1347,B46,'Categorias'!$A$4:$A$1347,L$3)</x:f>
        <x:v>504</x:v>
      </x:c>
      <x:c r="M46" s="28" t="n">
        <x:f>SUMIFS('Categorias'!$F$4:$F$1347,'Categorias'!$E$4:$E$1347,B46,'Categorias'!$A$4:$A$1347,M$3)</x:f>
        <x:v>0</x:v>
      </x:c>
      <x:c r="N46" s="47" t="n">
        <x:f>SUMIFS('Categorias'!$F$4:$F$1347,'Categorias'!$E$4:$E$1347,B46,'Categorias'!$A$4:$A$1347,N$3)</x:f>
        <x:v>8612</x:v>
      </x:c>
    </x:row>
    <x:row r="47">
      <x:c r="A47" s="39" t="n">
        <x:f>RANK.EQ(C47,$C$4:$C$273,0)</x:f>
        <x:v>44</x:v>
      </x:c>
      <x:c r="B47" s="40" t="str">
        <x:v>VTracer</x:v>
      </x:c>
      <x:c r="C47" s="28" t="n">
        <x:f>SUMIF('Categorias'!$E$4:$E$1347,B47,'Categorias'!$F$4:$F$1347)</x:f>
        <x:v>1756666</x:v>
      </x:c>
      <x:c r="D47" s="28" t="n">
        <x:f>SUMIFS('Categorias'!$F$4:$F$1347,'Categorias'!$E$4:$E$1347,B47,'Categorias'!$A$4:$A$1347,D$3)</x:f>
        <x:v>1190988</x:v>
      </x:c>
      <x:c r="E47" s="28" t="n">
        <x:f>SUMIFS('Categorias'!$F$4:$F$1347,'Categorias'!$E$4:$E$1347,B47,'Categorias'!$A$4:$A$1347,E$3)</x:f>
        <x:v>73851</x:v>
      </x:c>
      <x:c r="F47" s="28" t="n">
        <x:f>SUMIFS('Categorias'!$F$4:$F$1347,'Categorias'!$E$4:$E$1347,B47,'Categorias'!$A$4:$A$1347,F$3)</x:f>
        <x:v>88870</x:v>
      </x:c>
      <x:c r="G47" s="28" t="n">
        <x:f>SUMIFS('Categorias'!$F$4:$F$1347,'Categorias'!$E$4:$E$1347,B47,'Categorias'!$A$4:$A$1347,G$3)</x:f>
        <x:v>87039</x:v>
      </x:c>
      <x:c r="H47" s="28" t="n">
        <x:f>SUMIFS('Categorias'!$F$4:$F$1347,'Categorias'!$E$4:$E$1347,B47,'Categorias'!$A$4:$A$1347,H$3)</x:f>
        <x:v>24984</x:v>
      </x:c>
      <x:c r="I47" s="28" t="n">
        <x:f>SUMIFS('Categorias'!$F$4:$F$1347,'Categorias'!$E$4:$E$1347,B47,'Categorias'!$A$4:$A$1347,I$3)</x:f>
        <x:v>243466</x:v>
      </x:c>
      <x:c r="J47" s="28" t="n">
        <x:f>SUMIFS('Categorias'!$F$4:$F$1347,'Categorias'!$E$4:$E$1347,B47,'Categorias'!$A$4:$A$1347,J$3)</x:f>
        <x:v>34128</x:v>
      </x:c>
      <x:c r="K47" s="28" t="n">
        <x:f>SUMIFS('Categorias'!$F$4:$F$1347,'Categorias'!$E$4:$E$1347,B47,'Categorias'!$A$4:$A$1347,K$3)</x:f>
        <x:v>0</x:v>
      </x:c>
      <x:c r="L47" s="28" t="n">
        <x:f>SUMIFS('Categorias'!$F$4:$F$1347,'Categorias'!$E$4:$E$1347,B47,'Categorias'!$A$4:$A$1347,L$3)</x:f>
        <x:v>0</x:v>
      </x:c>
      <x:c r="M47" s="28" t="n">
        <x:f>SUMIFS('Categorias'!$F$4:$F$1347,'Categorias'!$E$4:$E$1347,B47,'Categorias'!$A$4:$A$1347,M$3)</x:f>
        <x:v>0</x:v>
      </x:c>
      <x:c r="N47" s="47" t="n">
        <x:f>SUMIFS('Categorias'!$F$4:$F$1347,'Categorias'!$E$4:$E$1347,B47,'Categorias'!$A$4:$A$1347,N$3)</x:f>
        <x:v>13340</x:v>
      </x:c>
    </x:row>
    <x:row r="48">
      <x:c r="A48" s="39" t="n">
        <x:f>RANK.EQ(C48,$C$4:$C$273,0)</x:f>
        <x:v>45</x:v>
      </x:c>
      <x:c r="B48" s="40" t="str">
        <x:v>Reguilla</x:v>
      </x:c>
      <x:c r="C48" s="28" t="n">
        <x:f>SUMIF('Categorias'!$E$4:$E$1347,B48,'Categorias'!$F$4:$F$1347)</x:f>
        <x:v>1688648</x:v>
      </x:c>
      <x:c r="D48" s="28" t="n">
        <x:f>SUMIFS('Categorias'!$F$4:$F$1347,'Categorias'!$E$4:$E$1347,B48,'Categorias'!$A$4:$A$1347,D$3)</x:f>
        <x:v>1529970</x:v>
      </x:c>
      <x:c r="E48" s="28" t="n">
        <x:f>SUMIFS('Categorias'!$F$4:$F$1347,'Categorias'!$E$4:$E$1347,B48,'Categorias'!$A$4:$A$1347,E$3)</x:f>
        <x:v>50301</x:v>
      </x:c>
      <x:c r="F48" s="28" t="n">
        <x:f>SUMIFS('Categorias'!$F$4:$F$1347,'Categorias'!$E$4:$E$1347,B48,'Categorias'!$A$4:$A$1347,F$3)</x:f>
        <x:v>3707</x:v>
      </x:c>
      <x:c r="G48" s="28" t="n">
        <x:f>SUMIFS('Categorias'!$F$4:$F$1347,'Categorias'!$E$4:$E$1347,B48,'Categorias'!$A$4:$A$1347,G$3)</x:f>
        <x:v>5721</x:v>
      </x:c>
      <x:c r="H48" s="28" t="n">
        <x:f>SUMIFS('Categorias'!$F$4:$F$1347,'Categorias'!$E$4:$E$1347,B48,'Categorias'!$A$4:$A$1347,H$3)</x:f>
        <x:v>16616</x:v>
      </x:c>
      <x:c r="I48" s="28" t="n">
        <x:f>SUMIFS('Categorias'!$F$4:$F$1347,'Categorias'!$E$4:$E$1347,B48,'Categorias'!$A$4:$A$1347,I$3)</x:f>
        <x:v>55743</x:v>
      </x:c>
      <x:c r="J48" s="28" t="n">
        <x:f>SUMIFS('Categorias'!$F$4:$F$1347,'Categorias'!$E$4:$E$1347,B48,'Categorias'!$A$4:$A$1347,J$3)</x:f>
        <x:v>19669</x:v>
      </x:c>
      <x:c r="K48" s="28" t="n">
        <x:f>SUMIFS('Categorias'!$F$4:$F$1347,'Categorias'!$E$4:$E$1347,B48,'Categorias'!$A$4:$A$1347,K$3)</x:f>
        <x:v>0</x:v>
      </x:c>
      <x:c r="L48" s="28" t="n">
        <x:f>SUMIFS('Categorias'!$F$4:$F$1347,'Categorias'!$E$4:$E$1347,B48,'Categorias'!$A$4:$A$1347,L$3)</x:f>
        <x:v>6921</x:v>
      </x:c>
      <x:c r="M48" s="28" t="n">
        <x:f>SUMIFS('Categorias'!$F$4:$F$1347,'Categorias'!$E$4:$E$1347,B48,'Categorias'!$A$4:$A$1347,M$3)</x:f>
        <x:v>0</x:v>
      </x:c>
      <x:c r="N48" s="47" t="n">
        <x:f>SUMIFS('Categorias'!$F$4:$F$1347,'Categorias'!$E$4:$E$1347,B48,'Categorias'!$A$4:$A$1347,N$3)</x:f>
        <x:v>0</x:v>
      </x:c>
    </x:row>
    <x:row r="49">
      <x:c r="A49" s="39" t="n">
        <x:f>RANK.EQ(C49,$C$4:$C$273,0)</x:f>
        <x:v>46</x:v>
      </x:c>
      <x:c r="B49" s="40" t="str">
        <x:v>MineMim</x:v>
      </x:c>
      <x:c r="C49" s="28" t="n">
        <x:f>SUMIF('Categorias'!$E$4:$E$1347,B49,'Categorias'!$F$4:$F$1347)</x:f>
        <x:v>1669104</x:v>
      </x:c>
      <x:c r="D49" s="28" t="n">
        <x:f>SUMIFS('Categorias'!$F$4:$F$1347,'Categorias'!$E$4:$E$1347,B49,'Categorias'!$A$4:$A$1347,D$3)</x:f>
        <x:v>1257517</x:v>
      </x:c>
      <x:c r="E49" s="28" t="n">
        <x:f>SUMIFS('Categorias'!$F$4:$F$1347,'Categorias'!$E$4:$E$1347,B49,'Categorias'!$A$4:$A$1347,E$3)</x:f>
        <x:v>206468</x:v>
      </x:c>
      <x:c r="F49" s="28" t="n">
        <x:f>SUMIFS('Categorias'!$F$4:$F$1347,'Categorias'!$E$4:$E$1347,B49,'Categorias'!$A$4:$A$1347,F$3)</x:f>
        <x:v>1205</x:v>
      </x:c>
      <x:c r="G49" s="28" t="n">
        <x:f>SUMIFS('Categorias'!$F$4:$F$1347,'Categorias'!$E$4:$E$1347,B49,'Categorias'!$A$4:$A$1347,G$3)</x:f>
        <x:v>50716</x:v>
      </x:c>
      <x:c r="H49" s="28" t="n">
        <x:f>SUMIFS('Categorias'!$F$4:$F$1347,'Categorias'!$E$4:$E$1347,B49,'Categorias'!$A$4:$A$1347,H$3)</x:f>
        <x:v>8452</x:v>
      </x:c>
      <x:c r="I49" s="28" t="n">
        <x:f>SUMIFS('Categorias'!$F$4:$F$1347,'Categorias'!$E$4:$E$1347,B49,'Categorias'!$A$4:$A$1347,I$3)</x:f>
        <x:v>69119</x:v>
      </x:c>
      <x:c r="J49" s="28" t="n">
        <x:f>SUMIFS('Categorias'!$F$4:$F$1347,'Categorias'!$E$4:$E$1347,B49,'Categorias'!$A$4:$A$1347,J$3)</x:f>
        <x:v>42827</x:v>
      </x:c>
      <x:c r="K49" s="28" t="n">
        <x:f>SUMIFS('Categorias'!$F$4:$F$1347,'Categorias'!$E$4:$E$1347,B49,'Categorias'!$A$4:$A$1347,K$3)</x:f>
        <x:v>0</x:v>
      </x:c>
      <x:c r="L49" s="28" t="n">
        <x:f>SUMIFS('Categorias'!$F$4:$F$1347,'Categorias'!$E$4:$E$1347,B49,'Categorias'!$A$4:$A$1347,L$3)</x:f>
        <x:v>0</x:v>
      </x:c>
      <x:c r="M49" s="28" t="n">
        <x:f>SUMIFS('Categorias'!$F$4:$F$1347,'Categorias'!$E$4:$E$1347,B49,'Categorias'!$A$4:$A$1347,M$3)</x:f>
        <x:v>245</x:v>
      </x:c>
      <x:c r="N49" s="47" t="n">
        <x:f>SUMIFS('Categorias'!$F$4:$F$1347,'Categorias'!$E$4:$E$1347,B49,'Categorias'!$A$4:$A$1347,N$3)</x:f>
        <x:v>32555</x:v>
      </x:c>
    </x:row>
    <x:row r="50">
      <x:c r="A50" s="39" t="n">
        <x:f>RANK.EQ(C50,$C$4:$C$273,0)</x:f>
        <x:v>47</x:v>
      </x:c>
      <x:c r="B50" s="40" t="str">
        <x:v>Amakv</x:v>
      </x:c>
      <x:c r="C50" s="28" t="n">
        <x:f>SUMIF('Categorias'!$E$4:$E$1347,B50,'Categorias'!$F$4:$F$1347)</x:f>
        <x:v>1617490</x:v>
      </x:c>
      <x:c r="D50" s="28" t="n">
        <x:f>SUMIFS('Categorias'!$F$4:$F$1347,'Categorias'!$E$4:$E$1347,B50,'Categorias'!$A$4:$A$1347,D$3)</x:f>
        <x:v>1160350</x:v>
      </x:c>
      <x:c r="E50" s="28" t="n">
        <x:f>SUMIFS('Categorias'!$F$4:$F$1347,'Categorias'!$E$4:$E$1347,B50,'Categorias'!$A$4:$A$1347,E$3)</x:f>
        <x:v>213432</x:v>
      </x:c>
      <x:c r="F50" s="28" t="n">
        <x:f>SUMIFS('Categorias'!$F$4:$F$1347,'Categorias'!$E$4:$E$1347,B50,'Categorias'!$A$4:$A$1347,F$3)</x:f>
        <x:v>24216</x:v>
      </x:c>
      <x:c r="G50" s="28" t="n">
        <x:f>SUMIFS('Categorias'!$F$4:$F$1347,'Categorias'!$E$4:$E$1347,B50,'Categorias'!$A$4:$A$1347,G$3)</x:f>
        <x:v>94909</x:v>
      </x:c>
      <x:c r="H50" s="28" t="n">
        <x:f>SUMIFS('Categorias'!$F$4:$F$1347,'Categorias'!$E$4:$E$1347,B50,'Categorias'!$A$4:$A$1347,H$3)</x:f>
        <x:v>17661</x:v>
      </x:c>
      <x:c r="I50" s="28" t="n">
        <x:f>SUMIFS('Categorias'!$F$4:$F$1347,'Categorias'!$E$4:$E$1347,B50,'Categorias'!$A$4:$A$1347,I$3)</x:f>
        <x:v>43485</x:v>
      </x:c>
      <x:c r="J50" s="28" t="n">
        <x:f>SUMIFS('Categorias'!$F$4:$F$1347,'Categorias'!$E$4:$E$1347,B50,'Categorias'!$A$4:$A$1347,J$3)</x:f>
        <x:v>58680</x:v>
      </x:c>
      <x:c r="K50" s="28" t="n">
        <x:f>SUMIFS('Categorias'!$F$4:$F$1347,'Categorias'!$E$4:$E$1347,B50,'Categorias'!$A$4:$A$1347,K$3)</x:f>
        <x:v>0</x:v>
      </x:c>
      <x:c r="L50" s="28" t="n">
        <x:f>SUMIFS('Categorias'!$F$4:$F$1347,'Categorias'!$E$4:$E$1347,B50,'Categorias'!$A$4:$A$1347,L$3)</x:f>
        <x:v>0</x:v>
      </x:c>
      <x:c r="M50" s="28" t="n">
        <x:f>SUMIFS('Categorias'!$F$4:$F$1347,'Categorias'!$E$4:$E$1347,B50,'Categorias'!$A$4:$A$1347,M$3)</x:f>
        <x:v>0</x:v>
      </x:c>
      <x:c r="N50" s="47" t="n">
        <x:f>SUMIFS('Categorias'!$F$4:$F$1347,'Categorias'!$E$4:$E$1347,B50,'Categorias'!$A$4:$A$1347,N$3)</x:f>
        <x:v>4757</x:v>
      </x:c>
    </x:row>
    <x:row r="51">
      <x:c r="A51" s="39" t="n">
        <x:f>RANK.EQ(C51,$C$4:$C$273,0)</x:f>
        <x:v>48</x:v>
      </x:c>
      <x:c r="B51" s="40" t="str">
        <x:v>Temperamental</x:v>
      </x:c>
      <x:c r="C51" s="28" t="n">
        <x:f>SUMIF('Categorias'!$E$4:$E$1347,B51,'Categorias'!$F$4:$F$1347)</x:f>
        <x:v>1612013</x:v>
      </x:c>
      <x:c r="D51" s="28" t="n">
        <x:f>SUMIFS('Categorias'!$F$4:$F$1347,'Categorias'!$E$4:$E$1347,B51,'Categorias'!$A$4:$A$1347,D$3)</x:f>
        <x:v>1266632</x:v>
      </x:c>
      <x:c r="E51" s="28" t="n">
        <x:f>SUMIFS('Categorias'!$F$4:$F$1347,'Categorias'!$E$4:$E$1347,B51,'Categorias'!$A$4:$A$1347,E$3)</x:f>
        <x:v>109312</x:v>
      </x:c>
      <x:c r="F51" s="28" t="n">
        <x:f>SUMIFS('Categorias'!$F$4:$F$1347,'Categorias'!$E$4:$E$1347,B51,'Categorias'!$A$4:$A$1347,F$3)</x:f>
        <x:v>1964</x:v>
      </x:c>
      <x:c r="G51" s="28" t="n">
        <x:f>SUMIFS('Categorias'!$F$4:$F$1347,'Categorias'!$E$4:$E$1347,B51,'Categorias'!$A$4:$A$1347,G$3)</x:f>
        <x:v>0</x:v>
      </x:c>
      <x:c r="H51" s="28" t="n">
        <x:f>SUMIFS('Categorias'!$F$4:$F$1347,'Categorias'!$E$4:$E$1347,B51,'Categorias'!$A$4:$A$1347,H$3)</x:f>
        <x:v>27014</x:v>
      </x:c>
      <x:c r="I51" s="28" t="n">
        <x:f>SUMIFS('Categorias'!$F$4:$F$1347,'Categorias'!$E$4:$E$1347,B51,'Categorias'!$A$4:$A$1347,I$3)</x:f>
        <x:v>97595</x:v>
      </x:c>
      <x:c r="J51" s="28" t="n">
        <x:f>SUMIFS('Categorias'!$F$4:$F$1347,'Categorias'!$E$4:$E$1347,B51,'Categorias'!$A$4:$A$1347,J$3)</x:f>
        <x:v>97662</x:v>
      </x:c>
      <x:c r="K51" s="28" t="n">
        <x:f>SUMIFS('Categorias'!$F$4:$F$1347,'Categorias'!$E$4:$E$1347,B51,'Categorias'!$A$4:$A$1347,K$3)</x:f>
        <x:v>0</x:v>
      </x:c>
      <x:c r="L51" s="28" t="n">
        <x:f>SUMIFS('Categorias'!$F$4:$F$1347,'Categorias'!$E$4:$E$1347,B51,'Categorias'!$A$4:$A$1347,L$3)</x:f>
        <x:v>1404</x:v>
      </x:c>
      <x:c r="M51" s="28" t="n">
        <x:f>SUMIFS('Categorias'!$F$4:$F$1347,'Categorias'!$E$4:$E$1347,B51,'Categorias'!$A$4:$A$1347,M$3)</x:f>
        <x:v>0</x:v>
      </x:c>
      <x:c r="N51" s="47" t="n">
        <x:f>SUMIFS('Categorias'!$F$4:$F$1347,'Categorias'!$E$4:$E$1347,B51,'Categorias'!$A$4:$A$1347,N$3)</x:f>
        <x:v>10430</x:v>
      </x:c>
    </x:row>
    <x:row r="52">
      <x:c r="A52" s="39" t="n">
        <x:f>RANK.EQ(C52,$C$4:$C$273,0)</x:f>
        <x:v>49</x:v>
      </x:c>
      <x:c r="B52" s="40" t="str">
        <x:v>Nandixx</x:v>
      </x:c>
      <x:c r="C52" s="28" t="n">
        <x:f>SUMIF('Categorias'!$E$4:$E$1347,B52,'Categorias'!$F$4:$F$1347)</x:f>
        <x:v>1568429</x:v>
      </x:c>
      <x:c r="D52" s="28" t="n">
        <x:f>SUMIFS('Categorias'!$F$4:$F$1347,'Categorias'!$E$4:$E$1347,B52,'Categorias'!$A$4:$A$1347,D$3)</x:f>
        <x:v>1289974</x:v>
      </x:c>
      <x:c r="E52" s="28" t="n">
        <x:f>SUMIFS('Categorias'!$F$4:$F$1347,'Categorias'!$E$4:$E$1347,B52,'Categorias'!$A$4:$A$1347,E$3)</x:f>
        <x:v>89701</x:v>
      </x:c>
      <x:c r="F52" s="28" t="n">
        <x:f>SUMIFS('Categorias'!$F$4:$F$1347,'Categorias'!$E$4:$E$1347,B52,'Categorias'!$A$4:$A$1347,F$3)</x:f>
        <x:v>1958</x:v>
      </x:c>
      <x:c r="G52" s="28" t="n">
        <x:f>SUMIFS('Categorias'!$F$4:$F$1347,'Categorias'!$E$4:$E$1347,B52,'Categorias'!$A$4:$A$1347,G$3)</x:f>
        <x:v>8386</x:v>
      </x:c>
      <x:c r="H52" s="28" t="n">
        <x:f>SUMIFS('Categorias'!$F$4:$F$1347,'Categorias'!$E$4:$E$1347,B52,'Categorias'!$A$4:$A$1347,H$3)</x:f>
        <x:v>23647</x:v>
      </x:c>
      <x:c r="I52" s="28" t="n">
        <x:f>SUMIFS('Categorias'!$F$4:$F$1347,'Categorias'!$E$4:$E$1347,B52,'Categorias'!$A$4:$A$1347,I$3)</x:f>
        <x:v>93727</x:v>
      </x:c>
      <x:c r="J52" s="28" t="n">
        <x:f>SUMIFS('Categorias'!$F$4:$F$1347,'Categorias'!$E$4:$E$1347,B52,'Categorias'!$A$4:$A$1347,J$3)</x:f>
        <x:v>21666</x:v>
      </x:c>
      <x:c r="K52" s="28" t="n">
        <x:f>SUMIFS('Categorias'!$F$4:$F$1347,'Categorias'!$E$4:$E$1347,B52,'Categorias'!$A$4:$A$1347,K$3)</x:f>
        <x:v>0</x:v>
      </x:c>
      <x:c r="L52" s="28" t="n">
        <x:f>SUMIFS('Categorias'!$F$4:$F$1347,'Categorias'!$E$4:$E$1347,B52,'Categorias'!$A$4:$A$1347,L$3)</x:f>
        <x:v>52</x:v>
      </x:c>
      <x:c r="M52" s="28" t="n">
        <x:f>SUMIFS('Categorias'!$F$4:$F$1347,'Categorias'!$E$4:$E$1347,B52,'Categorias'!$A$4:$A$1347,M$3)</x:f>
        <x:v>0</x:v>
      </x:c>
      <x:c r="N52" s="47" t="n">
        <x:f>SUMIFS('Categorias'!$F$4:$F$1347,'Categorias'!$E$4:$E$1347,B52,'Categorias'!$A$4:$A$1347,N$3)</x:f>
        <x:v>39318</x:v>
      </x:c>
    </x:row>
    <x:row r="53">
      <x:c r="A53" s="39" t="n">
        <x:f>RANK.EQ(C53,$C$4:$C$273,0)</x:f>
        <x:v>50</x:v>
      </x:c>
      <x:c r="B53" s="40" t="str">
        <x:v>A2ar</x:v>
      </x:c>
      <x:c r="C53" s="28" t="n">
        <x:f>SUMIF('Categorias'!$E$4:$E$1347,B53,'Categorias'!$F$4:$F$1347)</x:f>
        <x:v>1561262</x:v>
      </x:c>
      <x:c r="D53" s="28" t="n">
        <x:f>SUMIFS('Categorias'!$F$4:$F$1347,'Categorias'!$E$4:$E$1347,B53,'Categorias'!$A$4:$A$1347,D$3)</x:f>
        <x:v>883433</x:v>
      </x:c>
      <x:c r="E53" s="28" t="n">
        <x:f>SUMIFS('Categorias'!$F$4:$F$1347,'Categorias'!$E$4:$E$1347,B53,'Categorias'!$A$4:$A$1347,E$3)</x:f>
        <x:v>116041</x:v>
      </x:c>
      <x:c r="F53" s="28" t="n">
        <x:f>SUMIFS('Categorias'!$F$4:$F$1347,'Categorias'!$E$4:$E$1347,B53,'Categorias'!$A$4:$A$1347,F$3)</x:f>
        <x:v>0</x:v>
      </x:c>
      <x:c r="G53" s="28" t="n">
        <x:f>SUMIFS('Categorias'!$F$4:$F$1347,'Categorias'!$E$4:$E$1347,B53,'Categorias'!$A$4:$A$1347,G$3)</x:f>
        <x:v>127078</x:v>
      </x:c>
      <x:c r="H53" s="28" t="n">
        <x:f>SUMIFS('Categorias'!$F$4:$F$1347,'Categorias'!$E$4:$E$1347,B53,'Categorias'!$A$4:$A$1347,H$3)</x:f>
        <x:v>87863</x:v>
      </x:c>
      <x:c r="I53" s="28" t="n">
        <x:f>SUMIFS('Categorias'!$F$4:$F$1347,'Categorias'!$E$4:$E$1347,B53,'Categorias'!$A$4:$A$1347,I$3)</x:f>
        <x:v>195760</x:v>
      </x:c>
      <x:c r="J53" s="28" t="n">
        <x:f>SUMIFS('Categorias'!$F$4:$F$1347,'Categorias'!$E$4:$E$1347,B53,'Categorias'!$A$4:$A$1347,J$3)</x:f>
        <x:v>66753</x:v>
      </x:c>
      <x:c r="K53" s="28" t="n">
        <x:f>SUMIFS('Categorias'!$F$4:$F$1347,'Categorias'!$E$4:$E$1347,B53,'Categorias'!$A$4:$A$1347,K$3)</x:f>
        <x:v>0</x:v>
      </x:c>
      <x:c r="L53" s="28" t="n">
        <x:f>SUMIFS('Categorias'!$F$4:$F$1347,'Categorias'!$E$4:$E$1347,B53,'Categorias'!$A$4:$A$1347,L$3)</x:f>
        <x:v>2982</x:v>
      </x:c>
      <x:c r="M53" s="28" t="n">
        <x:f>SUMIFS('Categorias'!$F$4:$F$1347,'Categorias'!$E$4:$E$1347,B53,'Categorias'!$A$4:$A$1347,M$3)</x:f>
        <x:v>0</x:v>
      </x:c>
      <x:c r="N53" s="47" t="n">
        <x:f>SUMIFS('Categorias'!$F$4:$F$1347,'Categorias'!$E$4:$E$1347,B53,'Categorias'!$A$4:$A$1347,N$3)</x:f>
        <x:v>81352</x:v>
      </x:c>
    </x:row>
    <x:row r="54">
      <x:c r="A54" s="39" t="n">
        <x:f>RANK.EQ(C54,$C$4:$C$273,0)</x:f>
        <x:v>51</x:v>
      </x:c>
      <x:c r="B54" s="40" t="str">
        <x:v>Ruizao</x:v>
      </x:c>
      <x:c r="C54" s="28" t="n">
        <x:f>SUMIF('Categorias'!$E$4:$E$1347,B54,'Categorias'!$F$4:$F$1347)</x:f>
        <x:v>1519488</x:v>
      </x:c>
      <x:c r="D54" s="28" t="n">
        <x:f>SUMIFS('Categorias'!$F$4:$F$1347,'Categorias'!$E$4:$E$1347,B54,'Categorias'!$A$4:$A$1347,D$3)</x:f>
        <x:v>1499223</x:v>
      </x:c>
      <x:c r="E54" s="28" t="n">
        <x:f>SUMIFS('Categorias'!$F$4:$F$1347,'Categorias'!$E$4:$E$1347,B54,'Categorias'!$A$4:$A$1347,E$3)</x:f>
        <x:v>6549</x:v>
      </x:c>
      <x:c r="F54" s="28" t="n">
        <x:f>SUMIFS('Categorias'!$F$4:$F$1347,'Categorias'!$E$4:$E$1347,B54,'Categorias'!$A$4:$A$1347,F$3)</x:f>
        <x:v>0</x:v>
      </x:c>
      <x:c r="G54" s="28" t="n">
        <x:f>SUMIFS('Categorias'!$F$4:$F$1347,'Categorias'!$E$4:$E$1347,B54,'Categorias'!$A$4:$A$1347,G$3)</x:f>
        <x:v>0</x:v>
      </x:c>
      <x:c r="H54" s="28" t="n">
        <x:f>SUMIFS('Categorias'!$F$4:$F$1347,'Categorias'!$E$4:$E$1347,B54,'Categorias'!$A$4:$A$1347,H$3)</x:f>
        <x:v>6887</x:v>
      </x:c>
      <x:c r="I54" s="28" t="n">
        <x:f>SUMIFS('Categorias'!$F$4:$F$1347,'Categorias'!$E$4:$E$1347,B54,'Categorias'!$A$4:$A$1347,I$3)</x:f>
        <x:v>2959</x:v>
      </x:c>
      <x:c r="J54" s="28" t="n">
        <x:f>SUMIFS('Categorias'!$F$4:$F$1347,'Categorias'!$E$4:$E$1347,B54,'Categorias'!$A$4:$A$1347,J$3)</x:f>
        <x:v>877</x:v>
      </x:c>
      <x:c r="K54" s="28" t="n">
        <x:f>SUMIFS('Categorias'!$F$4:$F$1347,'Categorias'!$E$4:$E$1347,B54,'Categorias'!$A$4:$A$1347,K$3)</x:f>
        <x:v>0</x:v>
      </x:c>
      <x:c r="L54" s="28" t="n">
        <x:f>SUMIFS('Categorias'!$F$4:$F$1347,'Categorias'!$E$4:$E$1347,B54,'Categorias'!$A$4:$A$1347,L$3)</x:f>
        <x:v>84</x:v>
      </x:c>
      <x:c r="M54" s="28" t="n">
        <x:f>SUMIFS('Categorias'!$F$4:$F$1347,'Categorias'!$E$4:$E$1347,B54,'Categorias'!$A$4:$A$1347,M$3)</x:f>
        <x:v>2909</x:v>
      </x:c>
      <x:c r="N54" s="47" t="n">
        <x:f>SUMIFS('Categorias'!$F$4:$F$1347,'Categorias'!$E$4:$E$1347,B54,'Categorias'!$A$4:$A$1347,N$3)</x:f>
        <x:v>0</x:v>
      </x:c>
    </x:row>
    <x:row r="55">
      <x:c r="A55" s="39" t="n">
        <x:f>RANK.EQ(C55,$C$4:$C$273,0)</x:f>
        <x:v>52</x:v>
      </x:c>
      <x:c r="B55" s="40" t="str">
        <x:v>Karz1N</x:v>
      </x:c>
      <x:c r="C55" s="28" t="n">
        <x:f>SUMIF('Categorias'!$E$4:$E$1347,B55,'Categorias'!$F$4:$F$1347)</x:f>
        <x:v>1518507</x:v>
      </x:c>
      <x:c r="D55" s="28" t="n">
        <x:f>SUMIFS('Categorias'!$F$4:$F$1347,'Categorias'!$E$4:$E$1347,B55,'Categorias'!$A$4:$A$1347,D$3)</x:f>
        <x:v>1218506</x:v>
      </x:c>
      <x:c r="E55" s="28" t="n">
        <x:f>SUMIFS('Categorias'!$F$4:$F$1347,'Categorias'!$E$4:$E$1347,B55,'Categorias'!$A$4:$A$1347,E$3)</x:f>
        <x:v>125805</x:v>
      </x:c>
      <x:c r="F55" s="28" t="n">
        <x:f>SUMIFS('Categorias'!$F$4:$F$1347,'Categorias'!$E$4:$E$1347,B55,'Categorias'!$A$4:$A$1347,F$3)</x:f>
        <x:v>730</x:v>
      </x:c>
      <x:c r="G55" s="28" t="n">
        <x:f>SUMIFS('Categorias'!$F$4:$F$1347,'Categorias'!$E$4:$E$1347,B55,'Categorias'!$A$4:$A$1347,G$3)</x:f>
        <x:v>21288</x:v>
      </x:c>
      <x:c r="H55" s="28" t="n">
        <x:f>SUMIFS('Categorias'!$F$4:$F$1347,'Categorias'!$E$4:$E$1347,B55,'Categorias'!$A$4:$A$1347,H$3)</x:f>
        <x:v>100001</x:v>
      </x:c>
      <x:c r="I55" s="28" t="n">
        <x:f>SUMIFS('Categorias'!$F$4:$F$1347,'Categorias'!$E$4:$E$1347,B55,'Categorias'!$A$4:$A$1347,I$3)</x:f>
        <x:v>28420</x:v>
      </x:c>
      <x:c r="J55" s="28" t="n">
        <x:f>SUMIFS('Categorias'!$F$4:$F$1347,'Categorias'!$E$4:$E$1347,B55,'Categorias'!$A$4:$A$1347,J$3)</x:f>
        <x:v>16192</x:v>
      </x:c>
      <x:c r="K55" s="28" t="n">
        <x:f>SUMIFS('Categorias'!$F$4:$F$1347,'Categorias'!$E$4:$E$1347,B55,'Categorias'!$A$4:$A$1347,K$3)</x:f>
        <x:v>0</x:v>
      </x:c>
      <x:c r="L55" s="28" t="n">
        <x:f>SUMIFS('Categorias'!$F$4:$F$1347,'Categorias'!$E$4:$E$1347,B55,'Categorias'!$A$4:$A$1347,L$3)</x:f>
        <x:v>224</x:v>
      </x:c>
      <x:c r="M55" s="28" t="n">
        <x:f>SUMIFS('Categorias'!$F$4:$F$1347,'Categorias'!$E$4:$E$1347,B55,'Categorias'!$A$4:$A$1347,M$3)</x:f>
        <x:v>0</x:v>
      </x:c>
      <x:c r="N55" s="47" t="n">
        <x:f>SUMIFS('Categorias'!$F$4:$F$1347,'Categorias'!$E$4:$E$1347,B55,'Categorias'!$A$4:$A$1347,N$3)</x:f>
        <x:v>7341</x:v>
      </x:c>
    </x:row>
    <x:row r="56">
      <x:c r="A56" s="39" t="n">
        <x:f>RANK.EQ(C56,$C$4:$C$273,0)</x:f>
        <x:v>53</x:v>
      </x:c>
      <x:c r="B56" s="40" t="str">
        <x:v>Superpk</x:v>
      </x:c>
      <x:c r="C56" s="28" t="n">
        <x:f>SUMIF('Categorias'!$E$4:$E$1347,B56,'Categorias'!$F$4:$F$1347)</x:f>
        <x:v>1518417</x:v>
      </x:c>
      <x:c r="D56" s="28" t="n">
        <x:f>SUMIFS('Categorias'!$F$4:$F$1347,'Categorias'!$E$4:$E$1347,B56,'Categorias'!$A$4:$A$1347,D$3)</x:f>
        <x:v>1279067</x:v>
      </x:c>
      <x:c r="E56" s="28" t="n">
        <x:f>SUMIFS('Categorias'!$F$4:$F$1347,'Categorias'!$E$4:$E$1347,B56,'Categorias'!$A$4:$A$1347,E$3)</x:f>
        <x:v>91225</x:v>
      </x:c>
      <x:c r="F56" s="28" t="n">
        <x:f>SUMIFS('Categorias'!$F$4:$F$1347,'Categorias'!$E$4:$E$1347,B56,'Categorias'!$A$4:$A$1347,F$3)</x:f>
        <x:v>74033</x:v>
      </x:c>
      <x:c r="G56" s="28" t="n">
        <x:f>SUMIFS('Categorias'!$F$4:$F$1347,'Categorias'!$E$4:$E$1347,B56,'Categorias'!$A$4:$A$1347,G$3)</x:f>
        <x:v>14213</x:v>
      </x:c>
      <x:c r="H56" s="28" t="n">
        <x:f>SUMIFS('Categorias'!$F$4:$F$1347,'Categorias'!$E$4:$E$1347,B56,'Categorias'!$A$4:$A$1347,H$3)</x:f>
        <x:v>37817</x:v>
      </x:c>
      <x:c r="I56" s="28" t="n">
        <x:f>SUMIFS('Categorias'!$F$4:$F$1347,'Categorias'!$E$4:$E$1347,B56,'Categorias'!$A$4:$A$1347,I$3)</x:f>
        <x:v>1020</x:v>
      </x:c>
      <x:c r="J56" s="28" t="n">
        <x:f>SUMIFS('Categorias'!$F$4:$F$1347,'Categorias'!$E$4:$E$1347,B56,'Categorias'!$A$4:$A$1347,J$3)</x:f>
        <x:v>20675</x:v>
      </x:c>
      <x:c r="K56" s="28" t="n">
        <x:f>SUMIFS('Categorias'!$F$4:$F$1347,'Categorias'!$E$4:$E$1347,B56,'Categorias'!$A$4:$A$1347,K$3)</x:f>
        <x:v>0</x:v>
      </x:c>
      <x:c r="L56" s="28" t="n">
        <x:f>SUMIFS('Categorias'!$F$4:$F$1347,'Categorias'!$E$4:$E$1347,B56,'Categorias'!$A$4:$A$1347,L$3)</x:f>
        <x:v>78</x:v>
      </x:c>
      <x:c r="M56" s="28" t="n">
        <x:f>SUMIFS('Categorias'!$F$4:$F$1347,'Categorias'!$E$4:$E$1347,B56,'Categorias'!$A$4:$A$1347,M$3)</x:f>
        <x:v>289</x:v>
      </x:c>
      <x:c r="N56" s="47" t="n">
        <x:f>SUMIFS('Categorias'!$F$4:$F$1347,'Categorias'!$E$4:$E$1347,B56,'Categorias'!$A$4:$A$1347,N$3)</x:f>
        <x:v>0</x:v>
      </x:c>
    </x:row>
    <x:row r="57">
      <x:c r="A57" s="39" t="n">
        <x:f>RANK.EQ(C57,$C$4:$C$273,0)</x:f>
        <x:v>54</x:v>
      </x:c>
      <x:c r="B57" s="40" t="str">
        <x:v>gugaboss</x:v>
      </x:c>
      <x:c r="C57" s="28" t="n">
        <x:f>SUMIF('Categorias'!$E$4:$E$1347,B57,'Categorias'!$F$4:$F$1347)</x:f>
        <x:v>1442864</x:v>
      </x:c>
      <x:c r="D57" s="28" t="n">
        <x:f>SUMIFS('Categorias'!$F$4:$F$1347,'Categorias'!$E$4:$E$1347,B57,'Categorias'!$A$4:$A$1347,D$3)</x:f>
        <x:v>1433704</x:v>
      </x:c>
      <x:c r="E57" s="28" t="n">
        <x:f>SUMIFS('Categorias'!$F$4:$F$1347,'Categorias'!$E$4:$E$1347,B57,'Categorias'!$A$4:$A$1347,E$3)</x:f>
        <x:v>1963</x:v>
      </x:c>
      <x:c r="F57" s="28" t="n">
        <x:f>SUMIFS('Categorias'!$F$4:$F$1347,'Categorias'!$E$4:$E$1347,B57,'Categorias'!$A$4:$A$1347,F$3)</x:f>
        <x:v>786</x:v>
      </x:c>
      <x:c r="G57" s="28" t="n">
        <x:f>SUMIFS('Categorias'!$F$4:$F$1347,'Categorias'!$E$4:$E$1347,B57,'Categorias'!$A$4:$A$1347,G$3)</x:f>
        <x:v>0</x:v>
      </x:c>
      <x:c r="H57" s="28" t="n">
        <x:f>SUMIFS('Categorias'!$F$4:$F$1347,'Categorias'!$E$4:$E$1347,B57,'Categorias'!$A$4:$A$1347,H$3)</x:f>
        <x:v>6261</x:v>
      </x:c>
      <x:c r="I57" s="28" t="n">
        <x:f>SUMIFS('Categorias'!$F$4:$F$1347,'Categorias'!$E$4:$E$1347,B57,'Categorias'!$A$4:$A$1347,I$3)</x:f>
        <x:v>150</x:v>
      </x:c>
      <x:c r="J57" s="28" t="n">
        <x:f>SUMIFS('Categorias'!$F$4:$F$1347,'Categorias'!$E$4:$E$1347,B57,'Categorias'!$A$4:$A$1347,J$3)</x:f>
        <x:v>0</x:v>
      </x:c>
      <x:c r="K57" s="28" t="n">
        <x:f>SUMIFS('Categorias'!$F$4:$F$1347,'Categorias'!$E$4:$E$1347,B57,'Categorias'!$A$4:$A$1347,K$3)</x:f>
        <x:v>0</x:v>
      </x:c>
      <x:c r="L57" s="28" t="n">
        <x:f>SUMIFS('Categorias'!$F$4:$F$1347,'Categorias'!$E$4:$E$1347,B57,'Categorias'!$A$4:$A$1347,L$3)</x:f>
        <x:v>0</x:v>
      </x:c>
      <x:c r="M57" s="28" t="n">
        <x:f>SUMIFS('Categorias'!$F$4:$F$1347,'Categorias'!$E$4:$E$1347,B57,'Categorias'!$A$4:$A$1347,M$3)</x:f>
        <x:v>0</x:v>
      </x:c>
      <x:c r="N57" s="47" t="n">
        <x:f>SUMIFS('Categorias'!$F$4:$F$1347,'Categorias'!$E$4:$E$1347,B57,'Categorias'!$A$4:$A$1347,N$3)</x:f>
        <x:v>0</x:v>
      </x:c>
    </x:row>
    <x:row r="58">
      <x:c r="A58" s="39" t="n">
        <x:f>RANK.EQ(C58,$C$4:$C$273,0)</x:f>
        <x:v>55</x:v>
      </x:c>
      <x:c r="B58" s="40" t="str">
        <x:v>MARIOMALAN</x:v>
      </x:c>
      <x:c r="C58" s="28" t="n">
        <x:f>SUMIF('Categorias'!$E$4:$E$1347,B58,'Categorias'!$F$4:$F$1347)</x:f>
        <x:v>1377319</x:v>
      </x:c>
      <x:c r="D58" s="28" t="n">
        <x:f>SUMIFS('Categorias'!$F$4:$F$1347,'Categorias'!$E$4:$E$1347,B58,'Categorias'!$A$4:$A$1347,D$3)</x:f>
        <x:v>1083603</x:v>
      </x:c>
      <x:c r="E58" s="28" t="n">
        <x:f>SUMIFS('Categorias'!$F$4:$F$1347,'Categorias'!$E$4:$E$1347,B58,'Categorias'!$A$4:$A$1347,E$3)</x:f>
        <x:v>19985</x:v>
      </x:c>
      <x:c r="F58" s="28" t="n">
        <x:f>SUMIFS('Categorias'!$F$4:$F$1347,'Categorias'!$E$4:$E$1347,B58,'Categorias'!$A$4:$A$1347,F$3)</x:f>
        <x:v>44682</x:v>
      </x:c>
      <x:c r="G58" s="28" t="n">
        <x:f>SUMIFS('Categorias'!$F$4:$F$1347,'Categorias'!$E$4:$E$1347,B58,'Categorias'!$A$4:$A$1347,G$3)</x:f>
        <x:v>93289</x:v>
      </x:c>
      <x:c r="H58" s="28" t="n">
        <x:f>SUMIFS('Categorias'!$F$4:$F$1347,'Categorias'!$E$4:$E$1347,B58,'Categorias'!$A$4:$A$1347,H$3)</x:f>
        <x:v>38845</x:v>
      </x:c>
      <x:c r="I58" s="28" t="n">
        <x:f>SUMIFS('Categorias'!$F$4:$F$1347,'Categorias'!$E$4:$E$1347,B58,'Categorias'!$A$4:$A$1347,I$3)</x:f>
        <x:v>69968</x:v>
      </x:c>
      <x:c r="J58" s="28" t="n">
        <x:f>SUMIFS('Categorias'!$F$4:$F$1347,'Categorias'!$E$4:$E$1347,B58,'Categorias'!$A$4:$A$1347,J$3)</x:f>
        <x:v>25791</x:v>
      </x:c>
      <x:c r="K58" s="28" t="n">
        <x:f>SUMIFS('Categorias'!$F$4:$F$1347,'Categorias'!$E$4:$E$1347,B58,'Categorias'!$A$4:$A$1347,K$3)</x:f>
        <x:v>0</x:v>
      </x:c>
      <x:c r="L58" s="28" t="n">
        <x:f>SUMIFS('Categorias'!$F$4:$F$1347,'Categorias'!$E$4:$E$1347,B58,'Categorias'!$A$4:$A$1347,L$3)</x:f>
        <x:v>0</x:v>
      </x:c>
      <x:c r="M58" s="28" t="n">
        <x:f>SUMIFS('Categorias'!$F$4:$F$1347,'Categorias'!$E$4:$E$1347,B58,'Categorias'!$A$4:$A$1347,M$3)</x:f>
        <x:v>0</x:v>
      </x:c>
      <x:c r="N58" s="47" t="n">
        <x:f>SUMIFS('Categorias'!$F$4:$F$1347,'Categorias'!$E$4:$E$1347,B58,'Categorias'!$A$4:$A$1347,N$3)</x:f>
        <x:v>1156</x:v>
      </x:c>
    </x:row>
    <x:row r="59">
      <x:c r="A59" s="39" t="n">
        <x:f>RANK.EQ(C59,$C$4:$C$273,0)</x:f>
        <x:v>56</x:v>
      </x:c>
      <x:c r="B59" s="40" t="str">
        <x:v>Stresseed</x:v>
      </x:c>
      <x:c r="C59" s="28" t="n">
        <x:f>SUMIF('Categorias'!$E$4:$E$1347,B59,'Categorias'!$F$4:$F$1347)</x:f>
        <x:v>1365821</x:v>
      </x:c>
      <x:c r="D59" s="28" t="n">
        <x:f>SUMIFS('Categorias'!$F$4:$F$1347,'Categorias'!$E$4:$E$1347,B59,'Categorias'!$A$4:$A$1347,D$3)</x:f>
        <x:v>1082708</x:v>
      </x:c>
      <x:c r="E59" s="28" t="n">
        <x:f>SUMIFS('Categorias'!$F$4:$F$1347,'Categorias'!$E$4:$E$1347,B59,'Categorias'!$A$4:$A$1347,E$3)</x:f>
        <x:v>259134</x:v>
      </x:c>
      <x:c r="F59" s="28" t="n">
        <x:f>SUMIFS('Categorias'!$F$4:$F$1347,'Categorias'!$E$4:$E$1347,B59,'Categorias'!$A$4:$A$1347,F$3)</x:f>
        <x:v>0</x:v>
      </x:c>
      <x:c r="G59" s="28" t="n">
        <x:f>SUMIFS('Categorias'!$F$4:$F$1347,'Categorias'!$E$4:$E$1347,B59,'Categorias'!$A$4:$A$1347,G$3)</x:f>
        <x:v>2112</x:v>
      </x:c>
      <x:c r="H59" s="28" t="n">
        <x:f>SUMIFS('Categorias'!$F$4:$F$1347,'Categorias'!$E$4:$E$1347,B59,'Categorias'!$A$4:$A$1347,H$3)</x:f>
        <x:v>14878</x:v>
      </x:c>
      <x:c r="I59" s="28" t="n">
        <x:f>SUMIFS('Categorias'!$F$4:$F$1347,'Categorias'!$E$4:$E$1347,B59,'Categorias'!$A$4:$A$1347,I$3)</x:f>
        <x:v>2573</x:v>
      </x:c>
      <x:c r="J59" s="28" t="n">
        <x:f>SUMIFS('Categorias'!$F$4:$F$1347,'Categorias'!$E$4:$E$1347,B59,'Categorias'!$A$4:$A$1347,J$3)</x:f>
        <x:v>4223</x:v>
      </x:c>
      <x:c r="K59" s="28" t="n">
        <x:f>SUMIFS('Categorias'!$F$4:$F$1347,'Categorias'!$E$4:$E$1347,B59,'Categorias'!$A$4:$A$1347,K$3)</x:f>
        <x:v>0</x:v>
      </x:c>
      <x:c r="L59" s="28" t="n">
        <x:f>SUMIFS('Categorias'!$F$4:$F$1347,'Categorias'!$E$4:$E$1347,B59,'Categorias'!$A$4:$A$1347,L$3)</x:f>
        <x:v>0</x:v>
      </x:c>
      <x:c r="M59" s="28" t="n">
        <x:f>SUMIFS('Categorias'!$F$4:$F$1347,'Categorias'!$E$4:$E$1347,B59,'Categorias'!$A$4:$A$1347,M$3)</x:f>
        <x:v>193</x:v>
      </x:c>
      <x:c r="N59" s="47" t="n">
        <x:f>SUMIFS('Categorias'!$F$4:$F$1347,'Categorias'!$E$4:$E$1347,B59,'Categorias'!$A$4:$A$1347,N$3)</x:f>
        <x:v>0</x:v>
      </x:c>
    </x:row>
    <x:row r="60">
      <x:c r="A60" s="39" t="n">
        <x:f>RANK.EQ(C60,$C$4:$C$273,0)</x:f>
        <x:v>57</x:v>
      </x:c>
      <x:c r="B60" s="40" t="str">
        <x:v>Yuangii</x:v>
      </x:c>
      <x:c r="C60" s="28" t="n">
        <x:f>SUMIF('Categorias'!$E$4:$E$1347,B60,'Categorias'!$F$4:$F$1347)</x:f>
        <x:v>1357156</x:v>
      </x:c>
      <x:c r="D60" s="28" t="n">
        <x:f>SUMIFS('Categorias'!$F$4:$F$1347,'Categorias'!$E$4:$E$1347,B60,'Categorias'!$A$4:$A$1347,D$3)</x:f>
        <x:v>915935</x:v>
      </x:c>
      <x:c r="E60" s="28" t="n">
        <x:f>SUMIFS('Categorias'!$F$4:$F$1347,'Categorias'!$E$4:$E$1347,B60,'Categorias'!$A$4:$A$1347,E$3)</x:f>
        <x:v>138578</x:v>
      </x:c>
      <x:c r="F60" s="28" t="n">
        <x:f>SUMIFS('Categorias'!$F$4:$F$1347,'Categorias'!$E$4:$E$1347,B60,'Categorias'!$A$4:$A$1347,F$3)</x:f>
        <x:v>9247</x:v>
      </x:c>
      <x:c r="G60" s="28" t="n">
        <x:f>SUMIFS('Categorias'!$F$4:$F$1347,'Categorias'!$E$4:$E$1347,B60,'Categorias'!$A$4:$A$1347,G$3)</x:f>
        <x:v>66582</x:v>
      </x:c>
      <x:c r="H60" s="28" t="n">
        <x:f>SUMIFS('Categorias'!$F$4:$F$1347,'Categorias'!$E$4:$E$1347,B60,'Categorias'!$A$4:$A$1347,H$3)</x:f>
        <x:v>22083</x:v>
      </x:c>
      <x:c r="I60" s="28" t="n">
        <x:f>SUMIFS('Categorias'!$F$4:$F$1347,'Categorias'!$E$4:$E$1347,B60,'Categorias'!$A$4:$A$1347,I$3)</x:f>
        <x:v>127044</x:v>
      </x:c>
      <x:c r="J60" s="28" t="n">
        <x:f>SUMIFS('Categorias'!$F$4:$F$1347,'Categorias'!$E$4:$E$1347,B60,'Categorias'!$A$4:$A$1347,J$3)</x:f>
        <x:v>47843</x:v>
      </x:c>
      <x:c r="K60" s="28" t="n">
        <x:f>SUMIFS('Categorias'!$F$4:$F$1347,'Categorias'!$E$4:$E$1347,B60,'Categorias'!$A$4:$A$1347,K$3)</x:f>
        <x:v>0</x:v>
      </x:c>
      <x:c r="L60" s="28" t="n">
        <x:f>SUMIFS('Categorias'!$F$4:$F$1347,'Categorias'!$E$4:$E$1347,B60,'Categorias'!$A$4:$A$1347,L$3)</x:f>
        <x:v>0</x:v>
      </x:c>
      <x:c r="M60" s="28" t="n">
        <x:f>SUMIFS('Categorias'!$F$4:$F$1347,'Categorias'!$E$4:$E$1347,B60,'Categorias'!$A$4:$A$1347,M$3)</x:f>
        <x:v>0</x:v>
      </x:c>
      <x:c r="N60" s="47" t="n">
        <x:f>SUMIFS('Categorias'!$F$4:$F$1347,'Categorias'!$E$4:$E$1347,B60,'Categorias'!$A$4:$A$1347,N$3)</x:f>
        <x:v>29844</x:v>
      </x:c>
    </x:row>
    <x:row r="61">
      <x:c r="A61" s="39" t="n">
        <x:f>RANK.EQ(C61,$C$4:$C$273,0)</x:f>
        <x:v>58</x:v>
      </x:c>
      <x:c r="B61" s="40" t="str">
        <x:v>Merlinavo</x:v>
      </x:c>
      <x:c r="C61" s="28" t="n">
        <x:f>SUMIF('Categorias'!$E$4:$E$1347,B61,'Categorias'!$F$4:$F$1347)</x:f>
        <x:v>1300048</x:v>
      </x:c>
      <x:c r="D61" s="28" t="n">
        <x:f>SUMIFS('Categorias'!$F$4:$F$1347,'Categorias'!$E$4:$E$1347,B61,'Categorias'!$A$4:$A$1347,D$3)</x:f>
        <x:v>1116632</x:v>
      </x:c>
      <x:c r="E61" s="28" t="n">
        <x:f>SUMIFS('Categorias'!$F$4:$F$1347,'Categorias'!$E$4:$E$1347,B61,'Categorias'!$A$4:$A$1347,E$3)</x:f>
        <x:v>107555</x:v>
      </x:c>
      <x:c r="F61" s="28" t="n">
        <x:f>SUMIFS('Categorias'!$F$4:$F$1347,'Categorias'!$E$4:$E$1347,B61,'Categorias'!$A$4:$A$1347,F$3)</x:f>
        <x:v>8127</x:v>
      </x:c>
      <x:c r="G61" s="28" t="n">
        <x:f>SUMIFS('Categorias'!$F$4:$F$1347,'Categorias'!$E$4:$E$1347,B61,'Categorias'!$A$4:$A$1347,G$3)</x:f>
        <x:v>12869</x:v>
      </x:c>
      <x:c r="H61" s="28" t="n">
        <x:f>SUMIFS('Categorias'!$F$4:$F$1347,'Categorias'!$E$4:$E$1347,B61,'Categorias'!$A$4:$A$1347,H$3)</x:f>
        <x:v>9593</x:v>
      </x:c>
      <x:c r="I61" s="28" t="n">
        <x:f>SUMIFS('Categorias'!$F$4:$F$1347,'Categorias'!$E$4:$E$1347,B61,'Categorias'!$A$4:$A$1347,I$3)</x:f>
        <x:v>34129</x:v>
      </x:c>
      <x:c r="J61" s="28" t="n">
        <x:f>SUMIFS('Categorias'!$F$4:$F$1347,'Categorias'!$E$4:$E$1347,B61,'Categorias'!$A$4:$A$1347,J$3)</x:f>
        <x:v>6566</x:v>
      </x:c>
      <x:c r="K61" s="28" t="n">
        <x:f>SUMIFS('Categorias'!$F$4:$F$1347,'Categorias'!$E$4:$E$1347,B61,'Categorias'!$A$4:$A$1347,K$3)</x:f>
        <x:v>0</x:v>
      </x:c>
      <x:c r="L61" s="28" t="n">
        <x:f>SUMIFS('Categorias'!$F$4:$F$1347,'Categorias'!$E$4:$E$1347,B61,'Categorias'!$A$4:$A$1347,L$3)</x:f>
        <x:v>3928</x:v>
      </x:c>
      <x:c r="M61" s="28" t="n">
        <x:f>SUMIFS('Categorias'!$F$4:$F$1347,'Categorias'!$E$4:$E$1347,B61,'Categorias'!$A$4:$A$1347,M$3)</x:f>
        <x:v>0</x:v>
      </x:c>
      <x:c r="N61" s="47" t="n">
        <x:f>SUMIFS('Categorias'!$F$4:$F$1347,'Categorias'!$E$4:$E$1347,B61,'Categorias'!$A$4:$A$1347,N$3)</x:f>
        <x:v>649</x:v>
      </x:c>
    </x:row>
    <x:row r="62">
      <x:c r="A62" s="39" t="n">
        <x:f>RANK.EQ(C62,$C$4:$C$273,0)</x:f>
        <x:v>59</x:v>
      </x:c>
      <x:c r="B62" s="40" t="str">
        <x:v>Lumen821</x:v>
      </x:c>
      <x:c r="C62" s="28" t="n">
        <x:f>SUMIF('Categorias'!$E$4:$E$1347,B62,'Categorias'!$F$4:$F$1347)</x:f>
        <x:v>1295620</x:v>
      </x:c>
      <x:c r="D62" s="28" t="n">
        <x:f>SUMIFS('Categorias'!$F$4:$F$1347,'Categorias'!$E$4:$E$1347,B62,'Categorias'!$A$4:$A$1347,D$3)</x:f>
        <x:v>1113516</x:v>
      </x:c>
      <x:c r="E62" s="28" t="n">
        <x:f>SUMIFS('Categorias'!$F$4:$F$1347,'Categorias'!$E$4:$E$1347,B62,'Categorias'!$A$4:$A$1347,E$3)</x:f>
        <x:v>53449</x:v>
      </x:c>
      <x:c r="F62" s="28" t="n">
        <x:f>SUMIFS('Categorias'!$F$4:$F$1347,'Categorias'!$E$4:$E$1347,B62,'Categorias'!$A$4:$A$1347,F$3)</x:f>
        <x:v>0</x:v>
      </x:c>
      <x:c r="G62" s="28" t="n">
        <x:f>SUMIFS('Categorias'!$F$4:$F$1347,'Categorias'!$E$4:$E$1347,B62,'Categorias'!$A$4:$A$1347,G$3)</x:f>
        <x:v>17787</x:v>
      </x:c>
      <x:c r="H62" s="28" t="n">
        <x:f>SUMIFS('Categorias'!$F$4:$F$1347,'Categorias'!$E$4:$E$1347,B62,'Categorias'!$A$4:$A$1347,H$3)</x:f>
        <x:v>9726</x:v>
      </x:c>
      <x:c r="I62" s="28" t="n">
        <x:f>SUMIFS('Categorias'!$F$4:$F$1347,'Categorias'!$E$4:$E$1347,B62,'Categorias'!$A$4:$A$1347,I$3)</x:f>
        <x:v>12348</x:v>
      </x:c>
      <x:c r="J62" s="28" t="n">
        <x:f>SUMIFS('Categorias'!$F$4:$F$1347,'Categorias'!$E$4:$E$1347,B62,'Categorias'!$A$4:$A$1347,J$3)</x:f>
        <x:v>26544</x:v>
      </x:c>
      <x:c r="K62" s="28" t="n">
        <x:f>SUMIFS('Categorias'!$F$4:$F$1347,'Categorias'!$E$4:$E$1347,B62,'Categorias'!$A$4:$A$1347,K$3)</x:f>
        <x:v>0</x:v>
      </x:c>
      <x:c r="L62" s="28" t="n">
        <x:f>SUMIFS('Categorias'!$F$4:$F$1347,'Categorias'!$E$4:$E$1347,B62,'Categorias'!$A$4:$A$1347,L$3)</x:f>
        <x:v>47800</x:v>
      </x:c>
      <x:c r="M62" s="28" t="n">
        <x:f>SUMIFS('Categorias'!$F$4:$F$1347,'Categorias'!$E$4:$E$1347,B62,'Categorias'!$A$4:$A$1347,M$3)</x:f>
        <x:v>0</x:v>
      </x:c>
      <x:c r="N62" s="47" t="n">
        <x:f>SUMIFS('Categorias'!$F$4:$F$1347,'Categorias'!$E$4:$E$1347,B62,'Categorias'!$A$4:$A$1347,N$3)</x:f>
        <x:v>14450</x:v>
      </x:c>
    </x:row>
    <x:row r="63">
      <x:c r="A63" s="39" t="n">
        <x:f>RANK.EQ(C63,$C$4:$C$273,0)</x:f>
        <x:v>60</x:v>
      </x:c>
      <x:c r="B63" s="40" t="str">
        <x:v>habibino</x:v>
      </x:c>
      <x:c r="C63" s="28" t="n">
        <x:f>SUMIF('Categorias'!$E$4:$E$1347,B63,'Categorias'!$F$4:$F$1347)</x:f>
        <x:v>1268833</x:v>
      </x:c>
      <x:c r="D63" s="28" t="n">
        <x:f>SUMIFS('Categorias'!$F$4:$F$1347,'Categorias'!$E$4:$E$1347,B63,'Categorias'!$A$4:$A$1347,D$3)</x:f>
        <x:v>1047873</x:v>
      </x:c>
      <x:c r="E63" s="28" t="n">
        <x:f>SUMIFS('Categorias'!$F$4:$F$1347,'Categorias'!$E$4:$E$1347,B63,'Categorias'!$A$4:$A$1347,E$3)</x:f>
        <x:v>216981</x:v>
      </x:c>
      <x:c r="F63" s="28" t="n">
        <x:f>SUMIFS('Categorias'!$F$4:$F$1347,'Categorias'!$E$4:$E$1347,B63,'Categorias'!$A$4:$A$1347,F$3)</x:f>
        <x:v>0</x:v>
      </x:c>
      <x:c r="G63" s="28" t="n">
        <x:f>SUMIFS('Categorias'!$F$4:$F$1347,'Categorias'!$E$4:$E$1347,B63,'Categorias'!$A$4:$A$1347,G$3)</x:f>
        <x:v>0</x:v>
      </x:c>
      <x:c r="H63" s="28" t="n">
        <x:f>SUMIFS('Categorias'!$F$4:$F$1347,'Categorias'!$E$4:$E$1347,B63,'Categorias'!$A$4:$A$1347,H$3)</x:f>
        <x:v>1431</x:v>
      </x:c>
      <x:c r="I63" s="28" t="n">
        <x:f>SUMIFS('Categorias'!$F$4:$F$1347,'Categorias'!$E$4:$E$1347,B63,'Categorias'!$A$4:$A$1347,I$3)</x:f>
        <x:v>294</x:v>
      </x:c>
      <x:c r="J63" s="28" t="n">
        <x:f>SUMIFS('Categorias'!$F$4:$F$1347,'Categorias'!$E$4:$E$1347,B63,'Categorias'!$A$4:$A$1347,J$3)</x:f>
        <x:v>2254</x:v>
      </x:c>
      <x:c r="K63" s="28" t="n">
        <x:f>SUMIFS('Categorias'!$F$4:$F$1347,'Categorias'!$E$4:$E$1347,B63,'Categorias'!$A$4:$A$1347,K$3)</x:f>
        <x:v>0</x:v>
      </x:c>
      <x:c r="L63" s="28" t="n">
        <x:f>SUMIFS('Categorias'!$F$4:$F$1347,'Categorias'!$E$4:$E$1347,B63,'Categorias'!$A$4:$A$1347,L$3)</x:f>
        <x:v>0</x:v>
      </x:c>
      <x:c r="M63" s="28" t="n">
        <x:f>SUMIFS('Categorias'!$F$4:$F$1347,'Categorias'!$E$4:$E$1347,B63,'Categorias'!$A$4:$A$1347,M$3)</x:f>
        <x:v>0</x:v>
      </x:c>
      <x:c r="N63" s="47" t="n">
        <x:f>SUMIFS('Categorias'!$F$4:$F$1347,'Categorias'!$E$4:$E$1347,B63,'Categorias'!$A$4:$A$1347,N$3)</x:f>
        <x:v>0</x:v>
      </x:c>
    </x:row>
    <x:row r="64">
      <x:c r="A64" s="39" t="n">
        <x:f>RANK.EQ(C64,$C$4:$C$273,0)</x:f>
        <x:v>61</x:v>
      </x:c>
      <x:c r="B64" s="40" t="str">
        <x:v>zNeii</x:v>
      </x:c>
      <x:c r="C64" s="28" t="n">
        <x:f>SUMIF('Categorias'!$E$4:$E$1347,B64,'Categorias'!$F$4:$F$1347)</x:f>
        <x:v>1257432</x:v>
      </x:c>
      <x:c r="D64" s="28" t="n">
        <x:f>SUMIFS('Categorias'!$F$4:$F$1347,'Categorias'!$E$4:$E$1347,B64,'Categorias'!$A$4:$A$1347,D$3)</x:f>
        <x:v>1063029</x:v>
      </x:c>
      <x:c r="E64" s="28" t="n">
        <x:f>SUMIFS('Categorias'!$F$4:$F$1347,'Categorias'!$E$4:$E$1347,B64,'Categorias'!$A$4:$A$1347,E$3)</x:f>
        <x:v>157481</x:v>
      </x:c>
      <x:c r="F64" s="28" t="n">
        <x:f>SUMIFS('Categorias'!$F$4:$F$1347,'Categorias'!$E$4:$E$1347,B64,'Categorias'!$A$4:$A$1347,F$3)</x:f>
        <x:v>22315</x:v>
      </x:c>
      <x:c r="G64" s="28" t="n">
        <x:f>SUMIFS('Categorias'!$F$4:$F$1347,'Categorias'!$E$4:$E$1347,B64,'Categorias'!$A$4:$A$1347,G$3)</x:f>
        <x:v>0</x:v>
      </x:c>
      <x:c r="H64" s="28" t="n">
        <x:f>SUMIFS('Categorias'!$F$4:$F$1347,'Categorias'!$E$4:$E$1347,B64,'Categorias'!$A$4:$A$1347,H$3)</x:f>
        <x:v>12932</x:v>
      </x:c>
      <x:c r="I64" s="28" t="n">
        <x:f>SUMIFS('Categorias'!$F$4:$F$1347,'Categorias'!$E$4:$E$1347,B64,'Categorias'!$A$4:$A$1347,I$3)</x:f>
        <x:v>390</x:v>
      </x:c>
      <x:c r="J64" s="28" t="n">
        <x:f>SUMIFS('Categorias'!$F$4:$F$1347,'Categorias'!$E$4:$E$1347,B64,'Categorias'!$A$4:$A$1347,J$3)</x:f>
        <x:v>751</x:v>
      </x:c>
      <x:c r="K64" s="28" t="n">
        <x:f>SUMIFS('Categorias'!$F$4:$F$1347,'Categorias'!$E$4:$E$1347,B64,'Categorias'!$A$4:$A$1347,K$3)</x:f>
        <x:v>0</x:v>
      </x:c>
      <x:c r="L64" s="28" t="n">
        <x:f>SUMIFS('Categorias'!$F$4:$F$1347,'Categorias'!$E$4:$E$1347,B64,'Categorias'!$A$4:$A$1347,L$3)</x:f>
        <x:v>0</x:v>
      </x:c>
      <x:c r="M64" s="28" t="n">
        <x:f>SUMIFS('Categorias'!$F$4:$F$1347,'Categorias'!$E$4:$E$1347,B64,'Categorias'!$A$4:$A$1347,M$3)</x:f>
        <x:v>534</x:v>
      </x:c>
      <x:c r="N64" s="47" t="n">
        <x:f>SUMIFS('Categorias'!$F$4:$F$1347,'Categorias'!$E$4:$E$1347,B64,'Categorias'!$A$4:$A$1347,N$3)</x:f>
        <x:v>0</x:v>
      </x:c>
    </x:row>
    <x:row r="65">
      <x:c r="A65" s="39" t="n">
        <x:f>RANK.EQ(C65,$C$4:$C$273,0)</x:f>
        <x:v>62</x:v>
      </x:c>
      <x:c r="B65" s="40" t="str">
        <x:v>MaxHardcore</x:v>
      </x:c>
      <x:c r="C65" s="28" t="n">
        <x:f>SUMIF('Categorias'!$E$4:$E$1347,B65,'Categorias'!$F$4:$F$1347)</x:f>
        <x:v>1229747</x:v>
      </x:c>
      <x:c r="D65" s="28" t="n">
        <x:f>SUMIFS('Categorias'!$F$4:$F$1347,'Categorias'!$E$4:$E$1347,B65,'Categorias'!$A$4:$A$1347,D$3)</x:f>
        <x:v>714262</x:v>
      </x:c>
      <x:c r="E65" s="28" t="n">
        <x:f>SUMIFS('Categorias'!$F$4:$F$1347,'Categorias'!$E$4:$E$1347,B65,'Categorias'!$A$4:$A$1347,E$3)</x:f>
        <x:v>52342</x:v>
      </x:c>
      <x:c r="F65" s="28" t="n">
        <x:f>SUMIFS('Categorias'!$F$4:$F$1347,'Categorias'!$E$4:$E$1347,B65,'Categorias'!$A$4:$A$1347,F$3)</x:f>
        <x:v>0</x:v>
      </x:c>
      <x:c r="G65" s="28" t="n">
        <x:f>SUMIFS('Categorias'!$F$4:$F$1347,'Categorias'!$E$4:$E$1347,B65,'Categorias'!$A$4:$A$1347,G$3)</x:f>
        <x:v>154129</x:v>
      </x:c>
      <x:c r="H65" s="28" t="n">
        <x:f>SUMIFS('Categorias'!$F$4:$F$1347,'Categorias'!$E$4:$E$1347,B65,'Categorias'!$A$4:$A$1347,H$3)</x:f>
        <x:v>27773</x:v>
      </x:c>
      <x:c r="I65" s="28" t="n">
        <x:f>SUMIFS('Categorias'!$F$4:$F$1347,'Categorias'!$E$4:$E$1347,B65,'Categorias'!$A$4:$A$1347,I$3)</x:f>
        <x:v>210246</x:v>
      </x:c>
      <x:c r="J65" s="28" t="n">
        <x:f>SUMIFS('Categorias'!$F$4:$F$1347,'Categorias'!$E$4:$E$1347,B65,'Categorias'!$A$4:$A$1347,J$3)</x:f>
        <x:v>57019</x:v>
      </x:c>
      <x:c r="K65" s="28" t="n">
        <x:f>SUMIFS('Categorias'!$F$4:$F$1347,'Categorias'!$E$4:$E$1347,B65,'Categorias'!$A$4:$A$1347,K$3)</x:f>
        <x:v>0</x:v>
      </x:c>
      <x:c r="L65" s="28" t="n">
        <x:f>SUMIFS('Categorias'!$F$4:$F$1347,'Categorias'!$E$4:$E$1347,B65,'Categorias'!$A$4:$A$1347,L$3)</x:f>
        <x:v>0</x:v>
      </x:c>
      <x:c r="M65" s="28" t="n">
        <x:f>SUMIFS('Categorias'!$F$4:$F$1347,'Categorias'!$E$4:$E$1347,B65,'Categorias'!$A$4:$A$1347,M$3)</x:f>
        <x:v>0</x:v>
      </x:c>
      <x:c r="N65" s="47" t="n">
        <x:f>SUMIFS('Categorias'!$F$4:$F$1347,'Categorias'!$E$4:$E$1347,B65,'Categorias'!$A$4:$A$1347,N$3)</x:f>
        <x:v>13976</x:v>
      </x:c>
    </x:row>
    <x:row r="66">
      <x:c r="A66" s="39" t="n">
        <x:f>RANK.EQ(C66,$C$4:$C$273,0)</x:f>
        <x:v>63</x:v>
      </x:c>
      <x:c r="B66" s="40" t="str">
        <x:v>Djwd</x:v>
      </x:c>
      <x:c r="C66" s="28" t="n">
        <x:f>SUMIF('Categorias'!$E$4:$E$1347,B66,'Categorias'!$F$4:$F$1347)</x:f>
        <x:v>1187723</x:v>
      </x:c>
      <x:c r="D66" s="28" t="n">
        <x:f>SUMIFS('Categorias'!$F$4:$F$1347,'Categorias'!$E$4:$E$1347,B66,'Categorias'!$A$4:$A$1347,D$3)</x:f>
        <x:v>952748</x:v>
      </x:c>
      <x:c r="E66" s="28" t="n">
        <x:f>SUMIFS('Categorias'!$F$4:$F$1347,'Categorias'!$E$4:$E$1347,B66,'Categorias'!$A$4:$A$1347,E$3)</x:f>
        <x:v>66941</x:v>
      </x:c>
      <x:c r="F66" s="28" t="n">
        <x:f>SUMIFS('Categorias'!$F$4:$F$1347,'Categorias'!$E$4:$E$1347,B66,'Categorias'!$A$4:$A$1347,F$3)</x:f>
        <x:v>2634</x:v>
      </x:c>
      <x:c r="G66" s="28" t="n">
        <x:f>SUMIFS('Categorias'!$F$4:$F$1347,'Categorias'!$E$4:$E$1347,B66,'Categorias'!$A$4:$A$1347,G$3)</x:f>
        <x:v>21246</x:v>
      </x:c>
      <x:c r="H66" s="28" t="n">
        <x:f>SUMIFS('Categorias'!$F$4:$F$1347,'Categorias'!$E$4:$E$1347,B66,'Categorias'!$A$4:$A$1347,H$3)</x:f>
        <x:v>23134</x:v>
      </x:c>
      <x:c r="I66" s="28" t="n">
        <x:f>SUMIFS('Categorias'!$F$4:$F$1347,'Categorias'!$E$4:$E$1347,B66,'Categorias'!$A$4:$A$1347,I$3)</x:f>
        <x:v>25628</x:v>
      </x:c>
      <x:c r="J66" s="28" t="n">
        <x:f>SUMIFS('Categorias'!$F$4:$F$1347,'Categorias'!$E$4:$E$1347,B66,'Categorias'!$A$4:$A$1347,J$3)</x:f>
        <x:v>44619</x:v>
      </x:c>
      <x:c r="K66" s="28" t="n">
        <x:f>SUMIFS('Categorias'!$F$4:$F$1347,'Categorias'!$E$4:$E$1347,B66,'Categorias'!$A$4:$A$1347,K$3)</x:f>
        <x:v>0</x:v>
      </x:c>
      <x:c r="L66" s="28" t="n">
        <x:f>SUMIFS('Categorias'!$F$4:$F$1347,'Categorias'!$E$4:$E$1347,B66,'Categorias'!$A$4:$A$1347,L$3)</x:f>
        <x:v>49312</x:v>
      </x:c>
      <x:c r="M66" s="28" t="n">
        <x:f>SUMIFS('Categorias'!$F$4:$F$1347,'Categorias'!$E$4:$E$1347,B66,'Categorias'!$A$4:$A$1347,M$3)</x:f>
        <x:v>0</x:v>
      </x:c>
      <x:c r="N66" s="47" t="n">
        <x:f>SUMIFS('Categorias'!$F$4:$F$1347,'Categorias'!$E$4:$E$1347,B66,'Categorias'!$A$4:$A$1347,N$3)</x:f>
        <x:v>1461</x:v>
      </x:c>
    </x:row>
    <x:row r="67">
      <x:c r="A67" s="39" t="n">
        <x:f>RANK.EQ(C67,$C$4:$C$273,0)</x:f>
        <x:v>64</x:v>
      </x:c>
      <x:c r="B67" s="40" t="str">
        <x:v>VnfaTI</x:v>
      </x:c>
      <x:c r="C67" s="28" t="n">
        <x:f>SUMIF('Categorias'!$E$4:$E$1347,B67,'Categorias'!$F$4:$F$1347)</x:f>
        <x:v>1103784</x:v>
      </x:c>
      <x:c r="D67" s="28" t="n">
        <x:f>SUMIFS('Categorias'!$F$4:$F$1347,'Categorias'!$E$4:$E$1347,B67,'Categorias'!$A$4:$A$1347,D$3)</x:f>
        <x:v>854240</x:v>
      </x:c>
      <x:c r="E67" s="28" t="n">
        <x:f>SUMIFS('Categorias'!$F$4:$F$1347,'Categorias'!$E$4:$E$1347,B67,'Categorias'!$A$4:$A$1347,E$3)</x:f>
        <x:v>73294</x:v>
      </x:c>
      <x:c r="F67" s="28" t="n">
        <x:f>SUMIFS('Categorias'!$F$4:$F$1347,'Categorias'!$E$4:$E$1347,B67,'Categorias'!$A$4:$A$1347,F$3)</x:f>
        <x:v>946</x:v>
      </x:c>
      <x:c r="G67" s="28" t="n">
        <x:f>SUMIFS('Categorias'!$F$4:$F$1347,'Categorias'!$E$4:$E$1347,B67,'Categorias'!$A$4:$A$1347,G$3)</x:f>
        <x:v>0</x:v>
      </x:c>
      <x:c r="H67" s="28" t="n">
        <x:f>SUMIFS('Categorias'!$F$4:$F$1347,'Categorias'!$E$4:$E$1347,B67,'Categorias'!$A$4:$A$1347,H$3)</x:f>
        <x:v>104171</x:v>
      </x:c>
      <x:c r="I67" s="28" t="n">
        <x:f>SUMIFS('Categorias'!$F$4:$F$1347,'Categorias'!$E$4:$E$1347,B67,'Categorias'!$A$4:$A$1347,I$3)</x:f>
        <x:v>1369</x:v>
      </x:c>
      <x:c r="J67" s="28" t="n">
        <x:f>SUMIFS('Categorias'!$F$4:$F$1347,'Categorias'!$E$4:$E$1347,B67,'Categorias'!$A$4:$A$1347,J$3)</x:f>
        <x:v>62978</x:v>
      </x:c>
      <x:c r="K67" s="28" t="n">
        <x:f>SUMIFS('Categorias'!$F$4:$F$1347,'Categorias'!$E$4:$E$1347,B67,'Categorias'!$A$4:$A$1347,K$3)</x:f>
        <x:v>3618</x:v>
      </x:c>
      <x:c r="L67" s="28" t="n">
        <x:f>SUMIFS('Categorias'!$F$4:$F$1347,'Categorias'!$E$4:$E$1347,B67,'Categorias'!$A$4:$A$1347,L$3)</x:f>
        <x:v>3168</x:v>
      </x:c>
      <x:c r="M67" s="28" t="n">
        <x:f>SUMIFS('Categorias'!$F$4:$F$1347,'Categorias'!$E$4:$E$1347,B67,'Categorias'!$A$4:$A$1347,M$3)</x:f>
        <x:v>0</x:v>
      </x:c>
      <x:c r="N67" s="47" t="n">
        <x:f>SUMIFS('Categorias'!$F$4:$F$1347,'Categorias'!$E$4:$E$1347,B67,'Categorias'!$A$4:$A$1347,N$3)</x:f>
        <x:v>0</x:v>
      </x:c>
    </x:row>
    <x:row r="68">
      <x:c r="A68" s="39" t="n">
        <x:f>RANK.EQ(C68,$C$4:$C$273,0)</x:f>
        <x:v>65</x:v>
      </x:c>
      <x:c r="B68" s="40" t="str">
        <x:v>VULTO</x:v>
      </x:c>
      <x:c r="C68" s="28" t="n">
        <x:f>SUMIF('Categorias'!$E$4:$E$1347,B68,'Categorias'!$F$4:$F$1347)</x:f>
        <x:v>1060068</x:v>
      </x:c>
      <x:c r="D68" s="28" t="n">
        <x:f>SUMIFS('Categorias'!$F$4:$F$1347,'Categorias'!$E$4:$E$1347,B68,'Categorias'!$A$4:$A$1347,D$3)</x:f>
        <x:v>806378</x:v>
      </x:c>
      <x:c r="E68" s="28" t="n">
        <x:f>SUMIFS('Categorias'!$F$4:$F$1347,'Categorias'!$E$4:$E$1347,B68,'Categorias'!$A$4:$A$1347,E$3)</x:f>
        <x:v>179291</x:v>
      </x:c>
      <x:c r="F68" s="28" t="n">
        <x:f>SUMIFS('Categorias'!$F$4:$F$1347,'Categorias'!$E$4:$E$1347,B68,'Categorias'!$A$4:$A$1347,F$3)</x:f>
        <x:v>2809</x:v>
      </x:c>
      <x:c r="G68" s="28" t="n">
        <x:f>SUMIFS('Categorias'!$F$4:$F$1347,'Categorias'!$E$4:$E$1347,B68,'Categorias'!$A$4:$A$1347,G$3)</x:f>
        <x:v>13929</x:v>
      </x:c>
      <x:c r="H68" s="28" t="n">
        <x:f>SUMIFS('Categorias'!$F$4:$F$1347,'Categorias'!$E$4:$E$1347,B68,'Categorias'!$A$4:$A$1347,H$3)</x:f>
        <x:v>15205</x:v>
      </x:c>
      <x:c r="I68" s="28" t="n">
        <x:f>SUMIFS('Categorias'!$F$4:$F$1347,'Categorias'!$E$4:$E$1347,B68,'Categorias'!$A$4:$A$1347,I$3)</x:f>
        <x:v>3517</x:v>
      </x:c>
      <x:c r="J68" s="28" t="n">
        <x:f>SUMIFS('Categorias'!$F$4:$F$1347,'Categorias'!$E$4:$E$1347,B68,'Categorias'!$A$4:$A$1347,J$3)</x:f>
        <x:v>8375</x:v>
      </x:c>
      <x:c r="K68" s="28" t="n">
        <x:f>SUMIFS('Categorias'!$F$4:$F$1347,'Categorias'!$E$4:$E$1347,B68,'Categorias'!$A$4:$A$1347,K$3)</x:f>
        <x:v>0</x:v>
      </x:c>
      <x:c r="L68" s="28" t="n">
        <x:f>SUMIFS('Categorias'!$F$4:$F$1347,'Categorias'!$E$4:$E$1347,B68,'Categorias'!$A$4:$A$1347,L$3)</x:f>
        <x:v>904</x:v>
      </x:c>
      <x:c r="M68" s="28" t="n">
        <x:f>SUMIFS('Categorias'!$F$4:$F$1347,'Categorias'!$E$4:$E$1347,B68,'Categorias'!$A$4:$A$1347,M$3)</x:f>
        <x:v>0</x:v>
      </x:c>
      <x:c r="N68" s="47" t="n">
        <x:f>SUMIFS('Categorias'!$F$4:$F$1347,'Categorias'!$E$4:$E$1347,B68,'Categorias'!$A$4:$A$1347,N$3)</x:f>
        <x:v>29660</x:v>
      </x:c>
    </x:row>
    <x:row r="69">
      <x:c r="A69" s="39" t="n">
        <x:f>RANK.EQ(C69,$C$4:$C$273,0)</x:f>
        <x:v>66</x:v>
      </x:c>
      <x:c r="B69" s="40" t="str">
        <x:v>KABRITONHO</x:v>
      </x:c>
      <x:c r="C69" s="28" t="n">
        <x:f>SUMIF('Categorias'!$E$4:$E$1347,B69,'Categorias'!$F$4:$F$1347)</x:f>
        <x:v>1058902</x:v>
      </x:c>
      <x:c r="D69" s="28" t="n">
        <x:f>SUMIFS('Categorias'!$F$4:$F$1347,'Categorias'!$E$4:$E$1347,B69,'Categorias'!$A$4:$A$1347,D$3)</x:f>
        <x:v>850508</x:v>
      </x:c>
      <x:c r="E69" s="28" t="n">
        <x:f>SUMIFS('Categorias'!$F$4:$F$1347,'Categorias'!$E$4:$E$1347,B69,'Categorias'!$A$4:$A$1347,E$3)</x:f>
        <x:v>161365</x:v>
      </x:c>
      <x:c r="F69" s="28" t="n">
        <x:f>SUMIFS('Categorias'!$F$4:$F$1347,'Categorias'!$E$4:$E$1347,B69,'Categorias'!$A$4:$A$1347,F$3)</x:f>
        <x:v>0</x:v>
      </x:c>
      <x:c r="G69" s="28" t="n">
        <x:f>SUMIFS('Categorias'!$F$4:$F$1347,'Categorias'!$E$4:$E$1347,B69,'Categorias'!$A$4:$A$1347,G$3)</x:f>
        <x:v>0</x:v>
      </x:c>
      <x:c r="H69" s="28" t="n">
        <x:f>SUMIFS('Categorias'!$F$4:$F$1347,'Categorias'!$E$4:$E$1347,B69,'Categorias'!$A$4:$A$1347,H$3)</x:f>
        <x:v>7426</x:v>
      </x:c>
      <x:c r="I69" s="28" t="n">
        <x:f>SUMIFS('Categorias'!$F$4:$F$1347,'Categorias'!$E$4:$E$1347,B69,'Categorias'!$A$4:$A$1347,I$3)</x:f>
        <x:v>21602</x:v>
      </x:c>
      <x:c r="J69" s="28" t="n">
        <x:f>SUMIFS('Categorias'!$F$4:$F$1347,'Categorias'!$E$4:$E$1347,B69,'Categorias'!$A$4:$A$1347,J$3)</x:f>
        <x:v>9894</x:v>
      </x:c>
      <x:c r="K69" s="28" t="n">
        <x:f>SUMIFS('Categorias'!$F$4:$F$1347,'Categorias'!$E$4:$E$1347,B69,'Categorias'!$A$4:$A$1347,K$3)</x:f>
        <x:v>0</x:v>
      </x:c>
      <x:c r="L69" s="28" t="n">
        <x:f>SUMIFS('Categorias'!$F$4:$F$1347,'Categorias'!$E$4:$E$1347,B69,'Categorias'!$A$4:$A$1347,L$3)</x:f>
        <x:v>5580</x:v>
      </x:c>
      <x:c r="M69" s="28" t="n">
        <x:f>SUMIFS('Categorias'!$F$4:$F$1347,'Categorias'!$E$4:$E$1347,B69,'Categorias'!$A$4:$A$1347,M$3)</x:f>
        <x:v>579</x:v>
      </x:c>
      <x:c r="N69" s="47" t="n">
        <x:f>SUMIFS('Categorias'!$F$4:$F$1347,'Categorias'!$E$4:$E$1347,B69,'Categorias'!$A$4:$A$1347,N$3)</x:f>
        <x:v>1948</x:v>
      </x:c>
    </x:row>
    <x:row r="70">
      <x:c r="A70" s="39" t="n">
        <x:f>RANK.EQ(C70,$C$4:$C$273,0)</x:f>
        <x:v>67</x:v>
      </x:c>
      <x:c r="B70" s="40" t="str">
        <x:v>BBob</x:v>
      </x:c>
      <x:c r="C70" s="28" t="n">
        <x:f>SUMIF('Categorias'!$E$4:$E$1347,B70,'Categorias'!$F$4:$F$1347)</x:f>
        <x:v>1036274</x:v>
      </x:c>
      <x:c r="D70" s="28" t="n">
        <x:f>SUMIFS('Categorias'!$F$4:$F$1347,'Categorias'!$E$4:$E$1347,B70,'Categorias'!$A$4:$A$1347,D$3)</x:f>
        <x:v>855425</x:v>
      </x:c>
      <x:c r="E70" s="28" t="n">
        <x:f>SUMIFS('Categorias'!$F$4:$F$1347,'Categorias'!$E$4:$E$1347,B70,'Categorias'!$A$4:$A$1347,E$3)</x:f>
        <x:v>50598</x:v>
      </x:c>
      <x:c r="F70" s="28" t="n">
        <x:f>SUMIFS('Categorias'!$F$4:$F$1347,'Categorias'!$E$4:$E$1347,B70,'Categorias'!$A$4:$A$1347,F$3)</x:f>
        <x:v>0</x:v>
      </x:c>
      <x:c r="G70" s="28" t="n">
        <x:f>SUMIFS('Categorias'!$F$4:$F$1347,'Categorias'!$E$4:$E$1347,B70,'Categorias'!$A$4:$A$1347,G$3)</x:f>
        <x:v>0</x:v>
      </x:c>
      <x:c r="H70" s="28" t="n">
        <x:f>SUMIFS('Categorias'!$F$4:$F$1347,'Categorias'!$E$4:$E$1347,B70,'Categorias'!$A$4:$A$1347,H$3)</x:f>
        <x:v>14975</x:v>
      </x:c>
      <x:c r="I70" s="28" t="n">
        <x:f>SUMIFS('Categorias'!$F$4:$F$1347,'Categorias'!$E$4:$E$1347,B70,'Categorias'!$A$4:$A$1347,I$3)</x:f>
        <x:v>4145</x:v>
      </x:c>
      <x:c r="J70" s="28" t="n">
        <x:f>SUMIFS('Categorias'!$F$4:$F$1347,'Categorias'!$E$4:$E$1347,B70,'Categorias'!$A$4:$A$1347,J$3)</x:f>
        <x:v>111131</x:v>
      </x:c>
      <x:c r="K70" s="28" t="n">
        <x:f>SUMIFS('Categorias'!$F$4:$F$1347,'Categorias'!$E$4:$E$1347,B70,'Categorias'!$A$4:$A$1347,K$3)</x:f>
        <x:v>0</x:v>
      </x:c>
      <x:c r="L70" s="28" t="n">
        <x:f>SUMIFS('Categorias'!$F$4:$F$1347,'Categorias'!$E$4:$E$1347,B70,'Categorias'!$A$4:$A$1347,L$3)</x:f>
        <x:v>0</x:v>
      </x:c>
      <x:c r="M70" s="28" t="n">
        <x:f>SUMIFS('Categorias'!$F$4:$F$1347,'Categorias'!$E$4:$E$1347,B70,'Categorias'!$A$4:$A$1347,M$3)</x:f>
        <x:v>0</x:v>
      </x:c>
      <x:c r="N70" s="47" t="n">
        <x:f>SUMIFS('Categorias'!$F$4:$F$1347,'Categorias'!$E$4:$E$1347,B70,'Categorias'!$A$4:$A$1347,N$3)</x:f>
        <x:v>0</x:v>
      </x:c>
    </x:row>
    <x:row r="71">
      <x:c r="A71" s="39" t="n">
        <x:f>RANK.EQ(C71,$C$4:$C$273,0)</x:f>
        <x:v>68</x:v>
      </x:c>
      <x:c r="B71" s="40" t="str">
        <x:v>HolyGyat2324</x:v>
      </x:c>
      <x:c r="C71" s="28" t="n">
        <x:f>SUMIF('Categorias'!$E$4:$E$1347,B71,'Categorias'!$F$4:$F$1347)</x:f>
        <x:v>979598</x:v>
      </x:c>
      <x:c r="D71" s="28" t="n">
        <x:f>SUMIFS('Categorias'!$F$4:$F$1347,'Categorias'!$E$4:$E$1347,B71,'Categorias'!$A$4:$A$1347,D$3)</x:f>
        <x:v>707456</x:v>
      </x:c>
      <x:c r="E71" s="28" t="n">
        <x:f>SUMIFS('Categorias'!$F$4:$F$1347,'Categorias'!$E$4:$E$1347,B71,'Categorias'!$A$4:$A$1347,E$3)</x:f>
        <x:v>201733</x:v>
      </x:c>
      <x:c r="F71" s="28" t="n">
        <x:f>SUMIFS('Categorias'!$F$4:$F$1347,'Categorias'!$E$4:$E$1347,B71,'Categorias'!$A$4:$A$1347,F$3)</x:f>
        <x:v>20062</x:v>
      </x:c>
      <x:c r="G71" s="28" t="n">
        <x:f>SUMIFS('Categorias'!$F$4:$F$1347,'Categorias'!$E$4:$E$1347,B71,'Categorias'!$A$4:$A$1347,G$3)</x:f>
        <x:v>4085</x:v>
      </x:c>
      <x:c r="H71" s="28" t="n">
        <x:f>SUMIFS('Categorias'!$F$4:$F$1347,'Categorias'!$E$4:$E$1347,B71,'Categorias'!$A$4:$A$1347,H$3)</x:f>
        <x:v>7583</x:v>
      </x:c>
      <x:c r="I71" s="28" t="n">
        <x:f>SUMIFS('Categorias'!$F$4:$F$1347,'Categorias'!$E$4:$E$1347,B71,'Categorias'!$A$4:$A$1347,I$3)</x:f>
        <x:v>13969</x:v>
      </x:c>
      <x:c r="J71" s="28" t="n">
        <x:f>SUMIFS('Categorias'!$F$4:$F$1347,'Categorias'!$E$4:$E$1347,B71,'Categorias'!$A$4:$A$1347,J$3)</x:f>
        <x:v>17439</x:v>
      </x:c>
      <x:c r="K71" s="28" t="n">
        <x:f>SUMIFS('Categorias'!$F$4:$F$1347,'Categorias'!$E$4:$E$1347,B71,'Categorias'!$A$4:$A$1347,K$3)</x:f>
        <x:v>0</x:v>
      </x:c>
      <x:c r="L71" s="28" t="n">
        <x:f>SUMIFS('Categorias'!$F$4:$F$1347,'Categorias'!$E$4:$E$1347,B71,'Categorias'!$A$4:$A$1347,L$3)</x:f>
        <x:v>420</x:v>
      </x:c>
      <x:c r="M71" s="28" t="n">
        <x:f>SUMIFS('Categorias'!$F$4:$F$1347,'Categorias'!$E$4:$E$1347,B71,'Categorias'!$A$4:$A$1347,M$3)</x:f>
        <x:v>0</x:v>
      </x:c>
      <x:c r="N71" s="47" t="n">
        <x:f>SUMIFS('Categorias'!$F$4:$F$1347,'Categorias'!$E$4:$E$1347,B71,'Categorias'!$A$4:$A$1347,N$3)</x:f>
        <x:v>6851</x:v>
      </x:c>
    </x:row>
    <x:row r="72">
      <x:c r="A72" s="39" t="n">
        <x:f>RANK.EQ(C72,$C$4:$C$273,0)</x:f>
        <x:v>69</x:v>
      </x:c>
      <x:c r="B72" s="40" t="str">
        <x:v>Grockyy</x:v>
      </x:c>
      <x:c r="C72" s="28" t="n">
        <x:f>SUMIF('Categorias'!$E$4:$E$1347,B72,'Categorias'!$F$4:$F$1347)</x:f>
        <x:v>944186</x:v>
      </x:c>
      <x:c r="D72" s="28" t="n">
        <x:f>SUMIFS('Categorias'!$F$4:$F$1347,'Categorias'!$E$4:$E$1347,B72,'Categorias'!$A$4:$A$1347,D$3)</x:f>
        <x:v>711145</x:v>
      </x:c>
      <x:c r="E72" s="28" t="n">
        <x:f>SUMIFS('Categorias'!$F$4:$F$1347,'Categorias'!$E$4:$E$1347,B72,'Categorias'!$A$4:$A$1347,E$3)</x:f>
        <x:v>72952</x:v>
      </x:c>
      <x:c r="F72" s="28" t="n">
        <x:f>SUMIFS('Categorias'!$F$4:$F$1347,'Categorias'!$E$4:$E$1347,B72,'Categorias'!$A$4:$A$1347,F$3)</x:f>
        <x:v>20890</x:v>
      </x:c>
      <x:c r="G72" s="28" t="n">
        <x:f>SUMIFS('Categorias'!$F$4:$F$1347,'Categorias'!$E$4:$E$1347,B72,'Categorias'!$A$4:$A$1347,G$3)</x:f>
        <x:v>0</x:v>
      </x:c>
      <x:c r="H72" s="28" t="n">
        <x:f>SUMIFS('Categorias'!$F$4:$F$1347,'Categorias'!$E$4:$E$1347,B72,'Categorias'!$A$4:$A$1347,H$3)</x:f>
        <x:v>24645</x:v>
      </x:c>
      <x:c r="I72" s="28" t="n">
        <x:f>SUMIFS('Categorias'!$F$4:$F$1347,'Categorias'!$E$4:$E$1347,B72,'Categorias'!$A$4:$A$1347,I$3)</x:f>
        <x:v>34331</x:v>
      </x:c>
      <x:c r="J72" s="28" t="n">
        <x:f>SUMIFS('Categorias'!$F$4:$F$1347,'Categorias'!$E$4:$E$1347,B72,'Categorias'!$A$4:$A$1347,J$3)</x:f>
        <x:v>80223</x:v>
      </x:c>
      <x:c r="K72" s="28" t="n">
        <x:f>SUMIFS('Categorias'!$F$4:$F$1347,'Categorias'!$E$4:$E$1347,B72,'Categorias'!$A$4:$A$1347,K$3)</x:f>
        <x:v>0</x:v>
      </x:c>
      <x:c r="L72" s="28" t="n">
        <x:f>SUMIFS('Categorias'!$F$4:$F$1347,'Categorias'!$E$4:$E$1347,B72,'Categorias'!$A$4:$A$1347,L$3)</x:f>
        <x:v>0</x:v>
      </x:c>
      <x:c r="M72" s="28" t="n">
        <x:f>SUMIFS('Categorias'!$F$4:$F$1347,'Categorias'!$E$4:$E$1347,B72,'Categorias'!$A$4:$A$1347,M$3)</x:f>
        <x:v>0</x:v>
      </x:c>
      <x:c r="N72" s="47" t="n">
        <x:f>SUMIFS('Categorias'!$F$4:$F$1347,'Categorias'!$E$4:$E$1347,B72,'Categorias'!$A$4:$A$1347,N$3)</x:f>
        <x:v>0</x:v>
      </x:c>
    </x:row>
    <x:row r="73">
      <x:c r="A73" s="39" t="n">
        <x:f>RANK.EQ(C73,$C$4:$C$273,0)</x:f>
        <x:v>70</x:v>
      </x:c>
      <x:c r="B73" s="40" t="str">
        <x:v>MYLOLA262</x:v>
      </x:c>
      <x:c r="C73" s="28" t="n">
        <x:f>SUMIF('Categorias'!$E$4:$E$1347,B73,'Categorias'!$F$4:$F$1347)</x:f>
        <x:v>941377</x:v>
      </x:c>
      <x:c r="D73" s="28" t="n">
        <x:f>SUMIFS('Categorias'!$F$4:$F$1347,'Categorias'!$E$4:$E$1347,B73,'Categorias'!$A$4:$A$1347,D$3)</x:f>
        <x:v>669313</x:v>
      </x:c>
      <x:c r="E73" s="28" t="n">
        <x:f>SUMIFS('Categorias'!$F$4:$F$1347,'Categorias'!$E$4:$E$1347,B73,'Categorias'!$A$4:$A$1347,E$3)</x:f>
        <x:v>88220</x:v>
      </x:c>
      <x:c r="F73" s="28" t="n">
        <x:f>SUMIFS('Categorias'!$F$4:$F$1347,'Categorias'!$E$4:$E$1347,B73,'Categorias'!$A$4:$A$1347,F$3)</x:f>
        <x:v>12351</x:v>
      </x:c>
      <x:c r="G73" s="28" t="n">
        <x:f>SUMIFS('Categorias'!$F$4:$F$1347,'Categorias'!$E$4:$E$1347,B73,'Categorias'!$A$4:$A$1347,G$3)</x:f>
        <x:v>45430</x:v>
      </x:c>
      <x:c r="H73" s="28" t="n">
        <x:f>SUMIFS('Categorias'!$F$4:$F$1347,'Categorias'!$E$4:$E$1347,B73,'Categorias'!$A$4:$A$1347,H$3)</x:f>
        <x:v>18187</x:v>
      </x:c>
      <x:c r="I73" s="28" t="n">
        <x:f>SUMIFS('Categorias'!$F$4:$F$1347,'Categorias'!$E$4:$E$1347,B73,'Categorias'!$A$4:$A$1347,I$3)</x:f>
        <x:v>81728</x:v>
      </x:c>
      <x:c r="J73" s="28" t="n">
        <x:f>SUMIFS('Categorias'!$F$4:$F$1347,'Categorias'!$E$4:$E$1347,B73,'Categorias'!$A$4:$A$1347,J$3)</x:f>
        <x:v>15727</x:v>
      </x:c>
      <x:c r="K73" s="28" t="n">
        <x:f>SUMIFS('Categorias'!$F$4:$F$1347,'Categorias'!$E$4:$E$1347,B73,'Categorias'!$A$4:$A$1347,K$3)</x:f>
        <x:v>0</x:v>
      </x:c>
      <x:c r="L73" s="28" t="n">
        <x:f>SUMIFS('Categorias'!$F$4:$F$1347,'Categorias'!$E$4:$E$1347,B73,'Categorias'!$A$4:$A$1347,L$3)</x:f>
        <x:v>0</x:v>
      </x:c>
      <x:c r="M73" s="28" t="n">
        <x:f>SUMIFS('Categorias'!$F$4:$F$1347,'Categorias'!$E$4:$E$1347,B73,'Categorias'!$A$4:$A$1347,M$3)</x:f>
        <x:v>0</x:v>
      </x:c>
      <x:c r="N73" s="47" t="n">
        <x:f>SUMIFS('Categorias'!$F$4:$F$1347,'Categorias'!$E$4:$E$1347,B73,'Categorias'!$A$4:$A$1347,N$3)</x:f>
        <x:v>10421</x:v>
      </x:c>
    </x:row>
    <x:row r="74">
      <x:c r="A74" s="39" t="n">
        <x:f>RANK.EQ(C74,$C$4:$C$273,0)</x:f>
        <x:v>71</x:v>
      </x:c>
      <x:c r="B74" s="40" t="str">
        <x:v>Chuckzerah</x:v>
      </x:c>
      <x:c r="C74" s="28" t="n">
        <x:f>SUMIF('Categorias'!$E$4:$E$1347,B74,'Categorias'!$F$4:$F$1347)</x:f>
        <x:v>925557</x:v>
      </x:c>
      <x:c r="D74" s="28" t="n">
        <x:f>SUMIFS('Categorias'!$F$4:$F$1347,'Categorias'!$E$4:$E$1347,B74,'Categorias'!$A$4:$A$1347,D$3)</x:f>
        <x:v>835144</x:v>
      </x:c>
      <x:c r="E74" s="28" t="n">
        <x:f>SUMIFS('Categorias'!$F$4:$F$1347,'Categorias'!$E$4:$E$1347,B74,'Categorias'!$A$4:$A$1347,E$3)</x:f>
        <x:v>59896</x:v>
      </x:c>
      <x:c r="F74" s="28" t="n">
        <x:f>SUMIFS('Categorias'!$F$4:$F$1347,'Categorias'!$E$4:$E$1347,B74,'Categorias'!$A$4:$A$1347,F$3)</x:f>
        <x:v>1389</x:v>
      </x:c>
      <x:c r="G74" s="28" t="n">
        <x:f>SUMIFS('Categorias'!$F$4:$F$1347,'Categorias'!$E$4:$E$1347,B74,'Categorias'!$A$4:$A$1347,G$3)</x:f>
        <x:v>21051</x:v>
      </x:c>
      <x:c r="H74" s="28" t="n">
        <x:f>SUMIFS('Categorias'!$F$4:$F$1347,'Categorias'!$E$4:$E$1347,B74,'Categorias'!$A$4:$A$1347,H$3)</x:f>
        <x:v>2058</x:v>
      </x:c>
      <x:c r="I74" s="28" t="n">
        <x:f>SUMIFS('Categorias'!$F$4:$F$1347,'Categorias'!$E$4:$E$1347,B74,'Categorias'!$A$4:$A$1347,I$3)</x:f>
        <x:v>2640</x:v>
      </x:c>
      <x:c r="J74" s="28" t="n">
        <x:f>SUMIFS('Categorias'!$F$4:$F$1347,'Categorias'!$E$4:$E$1347,B74,'Categorias'!$A$4:$A$1347,J$3)</x:f>
        <x:v>1431</x:v>
      </x:c>
      <x:c r="K74" s="28" t="n">
        <x:f>SUMIFS('Categorias'!$F$4:$F$1347,'Categorias'!$E$4:$E$1347,B74,'Categorias'!$A$4:$A$1347,K$3)</x:f>
        <x:v>0</x:v>
      </x:c>
      <x:c r="L74" s="28" t="n">
        <x:f>SUMIFS('Categorias'!$F$4:$F$1347,'Categorias'!$E$4:$E$1347,B74,'Categorias'!$A$4:$A$1347,L$3)</x:f>
        <x:v>0</x:v>
      </x:c>
      <x:c r="M74" s="28" t="n">
        <x:f>SUMIFS('Categorias'!$F$4:$F$1347,'Categorias'!$E$4:$E$1347,B74,'Categorias'!$A$4:$A$1347,M$3)</x:f>
        <x:v>0</x:v>
      </x:c>
      <x:c r="N74" s="47" t="n">
        <x:f>SUMIFS('Categorias'!$F$4:$F$1347,'Categorias'!$E$4:$E$1347,B74,'Categorias'!$A$4:$A$1347,N$3)</x:f>
        <x:v>1948</x:v>
      </x:c>
    </x:row>
    <x:row r="75">
      <x:c r="A75" s="39" t="n">
        <x:f>RANK.EQ(C75,$C$4:$C$273,0)</x:f>
        <x:v>72</x:v>
      </x:c>
      <x:c r="B75" s="40" t="str">
        <x:v>Guislave</x:v>
      </x:c>
      <x:c r="C75" s="28" t="n">
        <x:f>SUMIF('Categorias'!$E$4:$E$1347,B75,'Categorias'!$F$4:$F$1347)</x:f>
        <x:v>917013</x:v>
      </x:c>
      <x:c r="D75" s="28" t="n">
        <x:f>SUMIFS('Categorias'!$F$4:$F$1347,'Categorias'!$E$4:$E$1347,B75,'Categorias'!$A$4:$A$1347,D$3)</x:f>
        <x:v>720682</x:v>
      </x:c>
      <x:c r="E75" s="28" t="n">
        <x:f>SUMIFS('Categorias'!$F$4:$F$1347,'Categorias'!$E$4:$E$1347,B75,'Categorias'!$A$4:$A$1347,E$3)</x:f>
        <x:v>30106</x:v>
      </x:c>
      <x:c r="F75" s="28" t="n">
        <x:f>SUMIFS('Categorias'!$F$4:$F$1347,'Categorias'!$E$4:$E$1347,B75,'Categorias'!$A$4:$A$1347,F$3)</x:f>
        <x:v>22764</x:v>
      </x:c>
      <x:c r="G75" s="28" t="n">
        <x:f>SUMIFS('Categorias'!$F$4:$F$1347,'Categorias'!$E$4:$E$1347,B75,'Categorias'!$A$4:$A$1347,G$3)</x:f>
        <x:v>36003</x:v>
      </x:c>
      <x:c r="H75" s="28" t="n">
        <x:f>SUMIFS('Categorias'!$F$4:$F$1347,'Categorias'!$E$4:$E$1347,B75,'Categorias'!$A$4:$A$1347,H$3)</x:f>
        <x:v>15912</x:v>
      </x:c>
      <x:c r="I75" s="28" t="n">
        <x:f>SUMIFS('Categorias'!$F$4:$F$1347,'Categorias'!$E$4:$E$1347,B75,'Categorias'!$A$4:$A$1347,I$3)</x:f>
        <x:v>52467</x:v>
      </x:c>
      <x:c r="J75" s="28" t="n">
        <x:f>SUMIFS('Categorias'!$F$4:$F$1347,'Categorias'!$E$4:$E$1347,B75,'Categorias'!$A$4:$A$1347,J$3)</x:f>
        <x:v>30751</x:v>
      </x:c>
      <x:c r="K75" s="28" t="n">
        <x:f>SUMIFS('Categorias'!$F$4:$F$1347,'Categorias'!$E$4:$E$1347,B75,'Categorias'!$A$4:$A$1347,K$3)</x:f>
        <x:v>0</x:v>
      </x:c>
      <x:c r="L75" s="28" t="n">
        <x:f>SUMIFS('Categorias'!$F$4:$F$1347,'Categorias'!$E$4:$E$1347,B75,'Categorias'!$A$4:$A$1347,L$3)</x:f>
        <x:v>0</x:v>
      </x:c>
      <x:c r="M75" s="28" t="n">
        <x:f>SUMIFS('Categorias'!$F$4:$F$1347,'Categorias'!$E$4:$E$1347,B75,'Categorias'!$A$4:$A$1347,M$3)</x:f>
        <x:v>0</x:v>
      </x:c>
      <x:c r="N75" s="47" t="n">
        <x:f>SUMIFS('Categorias'!$F$4:$F$1347,'Categorias'!$E$4:$E$1347,B75,'Categorias'!$A$4:$A$1347,N$3)</x:f>
        <x:v>8328</x:v>
      </x:c>
    </x:row>
    <x:row r="76">
      <x:c r="A76" s="39" t="n">
        <x:f>RANK.EQ(C76,$C$4:$C$273,0)</x:f>
        <x:v>73</x:v>
      </x:c>
      <x:c r="B76" s="40" t="str">
        <x:v>YukitoRaiden</x:v>
      </x:c>
      <x:c r="C76" s="28" t="n">
        <x:f>SUMIF('Categorias'!$E$4:$E$1347,B76,'Categorias'!$F$4:$F$1347)</x:f>
        <x:v>891546</x:v>
      </x:c>
      <x:c r="D76" s="28" t="n">
        <x:f>SUMIFS('Categorias'!$F$4:$F$1347,'Categorias'!$E$4:$E$1347,B76,'Categorias'!$A$4:$A$1347,D$3)</x:f>
        <x:v>837628</x:v>
      </x:c>
      <x:c r="E76" s="28" t="n">
        <x:f>SUMIFS('Categorias'!$F$4:$F$1347,'Categorias'!$E$4:$E$1347,B76,'Categorias'!$A$4:$A$1347,E$3)</x:f>
        <x:v>20913</x:v>
      </x:c>
      <x:c r="F76" s="28" t="n">
        <x:f>SUMIFS('Categorias'!$F$4:$F$1347,'Categorias'!$E$4:$E$1347,B76,'Categorias'!$A$4:$A$1347,F$3)</x:f>
        <x:v>0</x:v>
      </x:c>
      <x:c r="G76" s="28" t="n">
        <x:f>SUMIFS('Categorias'!$F$4:$F$1347,'Categorias'!$E$4:$E$1347,B76,'Categorias'!$A$4:$A$1347,G$3)</x:f>
        <x:v>0</x:v>
      </x:c>
      <x:c r="H76" s="28" t="n">
        <x:f>SUMIFS('Categorias'!$F$4:$F$1347,'Categorias'!$E$4:$E$1347,B76,'Categorias'!$A$4:$A$1347,H$3)</x:f>
        <x:v>9302</x:v>
      </x:c>
      <x:c r="I76" s="28" t="n">
        <x:f>SUMIFS('Categorias'!$F$4:$F$1347,'Categorias'!$E$4:$E$1347,B76,'Categorias'!$A$4:$A$1347,I$3)</x:f>
        <x:v>2107</x:v>
      </x:c>
      <x:c r="J76" s="28" t="n">
        <x:f>SUMIFS('Categorias'!$F$4:$F$1347,'Categorias'!$E$4:$E$1347,B76,'Categorias'!$A$4:$A$1347,J$3)</x:f>
        <x:v>21596</x:v>
      </x:c>
      <x:c r="K76" s="28" t="n">
        <x:f>SUMIFS('Categorias'!$F$4:$F$1347,'Categorias'!$E$4:$E$1347,B76,'Categorias'!$A$4:$A$1347,K$3)</x:f>
        <x:v>0</x:v>
      </x:c>
      <x:c r="L76" s="28" t="n">
        <x:f>SUMIFS('Categorias'!$F$4:$F$1347,'Categorias'!$E$4:$E$1347,B76,'Categorias'!$A$4:$A$1347,L$3)</x:f>
        <x:v>0</x:v>
      </x:c>
      <x:c r="M76" s="28" t="n">
        <x:f>SUMIFS('Categorias'!$F$4:$F$1347,'Categorias'!$E$4:$E$1347,B76,'Categorias'!$A$4:$A$1347,M$3)</x:f>
        <x:v>0</x:v>
      </x:c>
      <x:c r="N76" s="47" t="n">
        <x:f>SUMIFS('Categorias'!$F$4:$F$1347,'Categorias'!$E$4:$E$1347,B76,'Categorias'!$A$4:$A$1347,N$3)</x:f>
        <x:v>0</x:v>
      </x:c>
    </x:row>
    <x:row r="77">
      <x:c r="A77" s="39" t="n">
        <x:f>RANK.EQ(C77,$C$4:$C$273,0)</x:f>
        <x:v>74</x:v>
      </x:c>
      <x:c r="B77" s="40" t="str">
        <x:v>XIShanksXI</x:v>
      </x:c>
      <x:c r="C77" s="28" t="n">
        <x:f>SUMIF('Categorias'!$E$4:$E$1347,B77,'Categorias'!$F$4:$F$1347)</x:f>
        <x:v>854013</x:v>
      </x:c>
      <x:c r="D77" s="28" t="n">
        <x:f>SUMIFS('Categorias'!$F$4:$F$1347,'Categorias'!$E$4:$E$1347,B77,'Categorias'!$A$4:$A$1347,D$3)</x:f>
        <x:v>754708</x:v>
      </x:c>
      <x:c r="E77" s="28" t="n">
        <x:f>SUMIFS('Categorias'!$F$4:$F$1347,'Categorias'!$E$4:$E$1347,B77,'Categorias'!$A$4:$A$1347,E$3)</x:f>
        <x:v>84405</x:v>
      </x:c>
      <x:c r="F77" s="28" t="n">
        <x:f>SUMIFS('Categorias'!$F$4:$F$1347,'Categorias'!$E$4:$E$1347,B77,'Categorias'!$A$4:$A$1347,F$3)</x:f>
        <x:v>815</x:v>
      </x:c>
      <x:c r="G77" s="28" t="n">
        <x:f>SUMIFS('Categorias'!$F$4:$F$1347,'Categorias'!$E$4:$E$1347,B77,'Categorias'!$A$4:$A$1347,G$3)</x:f>
        <x:v>2527</x:v>
      </x:c>
      <x:c r="H77" s="28" t="n">
        <x:f>SUMIFS('Categorias'!$F$4:$F$1347,'Categorias'!$E$4:$E$1347,B77,'Categorias'!$A$4:$A$1347,H$3)</x:f>
        <x:v>1634</x:v>
      </x:c>
      <x:c r="I77" s="28" t="n">
        <x:f>SUMIFS('Categorias'!$F$4:$F$1347,'Categorias'!$E$4:$E$1347,B77,'Categorias'!$A$4:$A$1347,I$3)</x:f>
        <x:v>2265</x:v>
      </x:c>
      <x:c r="J77" s="28" t="n">
        <x:f>SUMIFS('Categorias'!$F$4:$F$1347,'Categorias'!$E$4:$E$1347,B77,'Categorias'!$A$4:$A$1347,J$3)</x:f>
        <x:v>6888</x:v>
      </x:c>
      <x:c r="K77" s="28" t="n">
        <x:f>SUMIFS('Categorias'!$F$4:$F$1347,'Categorias'!$E$4:$E$1347,B77,'Categorias'!$A$4:$A$1347,K$3)</x:f>
        <x:v>0</x:v>
      </x:c>
      <x:c r="L77" s="28" t="n">
        <x:f>SUMIFS('Categorias'!$F$4:$F$1347,'Categorias'!$E$4:$E$1347,B77,'Categorias'!$A$4:$A$1347,L$3)</x:f>
        <x:v>0</x:v>
      </x:c>
      <x:c r="M77" s="28" t="n">
        <x:f>SUMIFS('Categorias'!$F$4:$F$1347,'Categorias'!$E$4:$E$1347,B77,'Categorias'!$A$4:$A$1347,M$3)</x:f>
        <x:v>0</x:v>
      </x:c>
      <x:c r="N77" s="47" t="n">
        <x:f>SUMIFS('Categorias'!$F$4:$F$1347,'Categorias'!$E$4:$E$1347,B77,'Categorias'!$A$4:$A$1347,N$3)</x:f>
        <x:v>771</x:v>
      </x:c>
    </x:row>
    <x:row r="78">
      <x:c r="A78" s="39" t="n">
        <x:f>RANK.EQ(C78,$C$4:$C$273,0)</x:f>
        <x:v>75</x:v>
      </x:c>
      <x:c r="B78" s="40" t="str">
        <x:v>Rammstein</x:v>
      </x:c>
      <x:c r="C78" s="28" t="n">
        <x:f>SUMIF('Categorias'!$E$4:$E$1347,B78,'Categorias'!$F$4:$F$1347)</x:f>
        <x:v>852089</x:v>
      </x:c>
      <x:c r="D78" s="28" t="n">
        <x:f>SUMIFS('Categorias'!$F$4:$F$1347,'Categorias'!$E$4:$E$1347,B78,'Categorias'!$A$4:$A$1347,D$3)</x:f>
        <x:v>681726</x:v>
      </x:c>
      <x:c r="E78" s="28" t="n">
        <x:f>SUMIFS('Categorias'!$F$4:$F$1347,'Categorias'!$E$4:$E$1347,B78,'Categorias'!$A$4:$A$1347,E$3)</x:f>
        <x:v>166314</x:v>
      </x:c>
      <x:c r="F78" s="28" t="n">
        <x:f>SUMIFS('Categorias'!$F$4:$F$1347,'Categorias'!$E$4:$E$1347,B78,'Categorias'!$A$4:$A$1347,F$3)</x:f>
        <x:v>3155</x:v>
      </x:c>
      <x:c r="G78" s="28" t="n">
        <x:f>SUMIFS('Categorias'!$F$4:$F$1347,'Categorias'!$E$4:$E$1347,B78,'Categorias'!$A$4:$A$1347,G$3)</x:f>
        <x:v>0</x:v>
      </x:c>
      <x:c r="H78" s="28" t="n">
        <x:f>SUMIFS('Categorias'!$F$4:$F$1347,'Categorias'!$E$4:$E$1347,B78,'Categorias'!$A$4:$A$1347,H$3)</x:f>
        <x:v>894</x:v>
      </x:c>
      <x:c r="I78" s="28" t="n">
        <x:f>SUMIFS('Categorias'!$F$4:$F$1347,'Categorias'!$E$4:$E$1347,B78,'Categorias'!$A$4:$A$1347,I$3)</x:f>
        <x:v>0</x:v>
      </x:c>
      <x:c r="J78" s="28" t="n">
        <x:f>SUMIFS('Categorias'!$F$4:$F$1347,'Categorias'!$E$4:$E$1347,B78,'Categorias'!$A$4:$A$1347,J$3)</x:f>
        <x:v>0</x:v>
      </x:c>
      <x:c r="K78" s="28" t="n">
        <x:f>SUMIFS('Categorias'!$F$4:$F$1347,'Categorias'!$E$4:$E$1347,B78,'Categorias'!$A$4:$A$1347,K$3)</x:f>
        <x:v>0</x:v>
      </x:c>
      <x:c r="L78" s="28" t="n">
        <x:f>SUMIFS('Categorias'!$F$4:$F$1347,'Categorias'!$E$4:$E$1347,B78,'Categorias'!$A$4:$A$1347,L$3)</x:f>
        <x:v>0</x:v>
      </x:c>
      <x:c r="M78" s="28" t="n">
        <x:f>SUMIFS('Categorias'!$F$4:$F$1347,'Categorias'!$E$4:$E$1347,B78,'Categorias'!$A$4:$A$1347,M$3)</x:f>
        <x:v>0</x:v>
      </x:c>
      <x:c r="N78" s="47" t="n">
        <x:f>SUMIFS('Categorias'!$F$4:$F$1347,'Categorias'!$E$4:$E$1347,B78,'Categorias'!$A$4:$A$1347,N$3)</x:f>
        <x:v>0</x:v>
      </x:c>
    </x:row>
    <x:row r="79">
      <x:c r="A79" s="39" t="n">
        <x:f>RANK.EQ(C79,$C$4:$C$273,0)</x:f>
        <x:v>76</x:v>
      </x:c>
      <x:c r="B79" s="40" t="str">
        <x:v>LORDJAPAA</x:v>
      </x:c>
      <x:c r="C79" s="28" t="n">
        <x:f>SUMIF('Categorias'!$E$4:$E$1347,B79,'Categorias'!$F$4:$F$1347)</x:f>
        <x:v>847157</x:v>
      </x:c>
      <x:c r="D79" s="28" t="n">
        <x:f>SUMIFS('Categorias'!$F$4:$F$1347,'Categorias'!$E$4:$E$1347,B79,'Categorias'!$A$4:$A$1347,D$3)</x:f>
        <x:v>659536</x:v>
      </x:c>
      <x:c r="E79" s="28" t="n">
        <x:f>SUMIFS('Categorias'!$F$4:$F$1347,'Categorias'!$E$4:$E$1347,B79,'Categorias'!$A$4:$A$1347,E$3)</x:f>
        <x:v>39769</x:v>
      </x:c>
      <x:c r="F79" s="28" t="n">
        <x:f>SUMIFS('Categorias'!$F$4:$F$1347,'Categorias'!$E$4:$E$1347,B79,'Categorias'!$A$4:$A$1347,F$3)</x:f>
        <x:v>34992</x:v>
      </x:c>
      <x:c r="G79" s="28" t="n">
        <x:f>SUMIFS('Categorias'!$F$4:$F$1347,'Categorias'!$E$4:$E$1347,B79,'Categorias'!$A$4:$A$1347,G$3)</x:f>
        <x:v>0</x:v>
      </x:c>
      <x:c r="H79" s="28" t="n">
        <x:f>SUMIFS('Categorias'!$F$4:$F$1347,'Categorias'!$E$4:$E$1347,B79,'Categorias'!$A$4:$A$1347,H$3)</x:f>
        <x:v>7513</x:v>
      </x:c>
      <x:c r="I79" s="28" t="n">
        <x:f>SUMIFS('Categorias'!$F$4:$F$1347,'Categorias'!$E$4:$E$1347,B79,'Categorias'!$A$4:$A$1347,I$3)</x:f>
        <x:v>9358</x:v>
      </x:c>
      <x:c r="J79" s="28" t="n">
        <x:f>SUMIFS('Categorias'!$F$4:$F$1347,'Categorias'!$E$4:$E$1347,B79,'Categorias'!$A$4:$A$1347,J$3)</x:f>
        <x:v>95989</x:v>
      </x:c>
      <x:c r="K79" s="28" t="n">
        <x:f>SUMIFS('Categorias'!$F$4:$F$1347,'Categorias'!$E$4:$E$1347,B79,'Categorias'!$A$4:$A$1347,K$3)</x:f>
        <x:v>0</x:v>
      </x:c>
      <x:c r="L79" s="28" t="n">
        <x:f>SUMIFS('Categorias'!$F$4:$F$1347,'Categorias'!$E$4:$E$1347,B79,'Categorias'!$A$4:$A$1347,L$3)</x:f>
        <x:v>0</x:v>
      </x:c>
      <x:c r="M79" s="28" t="n">
        <x:f>SUMIFS('Categorias'!$F$4:$F$1347,'Categorias'!$E$4:$E$1347,B79,'Categorias'!$A$4:$A$1347,M$3)</x:f>
        <x:v>0</x:v>
      </x:c>
      <x:c r="N79" s="47" t="n">
        <x:f>SUMIFS('Categorias'!$F$4:$F$1347,'Categorias'!$E$4:$E$1347,B79,'Categorias'!$A$4:$A$1347,N$3)</x:f>
        <x:v>0</x:v>
      </x:c>
    </x:row>
    <x:row r="80">
      <x:c r="A80" s="39" t="n">
        <x:f>RANK.EQ(C80,$C$4:$C$273,0)</x:f>
        <x:v>77</x:v>
      </x:c>
      <x:c r="B80" s="40" t="str">
        <x:v>Davimix</x:v>
      </x:c>
      <x:c r="C80" s="28" t="n">
        <x:f>SUMIF('Categorias'!$E$4:$E$1347,B80,'Categorias'!$F$4:$F$1347)</x:f>
        <x:v>839890</x:v>
      </x:c>
      <x:c r="D80" s="28" t="n">
        <x:f>SUMIFS('Categorias'!$F$4:$F$1347,'Categorias'!$E$4:$E$1347,B80,'Categorias'!$A$4:$A$1347,D$3)</x:f>
        <x:v>578112</x:v>
      </x:c>
      <x:c r="E80" s="28" t="n">
        <x:f>SUMIFS('Categorias'!$F$4:$F$1347,'Categorias'!$E$4:$E$1347,B80,'Categorias'!$A$4:$A$1347,E$3)</x:f>
        <x:v>42837</x:v>
      </x:c>
      <x:c r="F80" s="28" t="n">
        <x:f>SUMIFS('Categorias'!$F$4:$F$1347,'Categorias'!$E$4:$E$1347,B80,'Categorias'!$A$4:$A$1347,F$3)</x:f>
        <x:v>40235</x:v>
      </x:c>
      <x:c r="G80" s="28" t="n">
        <x:f>SUMIFS('Categorias'!$F$4:$F$1347,'Categorias'!$E$4:$E$1347,B80,'Categorias'!$A$4:$A$1347,G$3)</x:f>
        <x:v>46205</x:v>
      </x:c>
      <x:c r="H80" s="28" t="n">
        <x:f>SUMIFS('Categorias'!$F$4:$F$1347,'Categorias'!$E$4:$E$1347,B80,'Categorias'!$A$4:$A$1347,H$3)</x:f>
        <x:v>14958</x:v>
      </x:c>
      <x:c r="I80" s="28" t="n">
        <x:f>SUMIFS('Categorias'!$F$4:$F$1347,'Categorias'!$E$4:$E$1347,B80,'Categorias'!$A$4:$A$1347,I$3)</x:f>
        <x:v>92929</x:v>
      </x:c>
      <x:c r="J80" s="28" t="n">
        <x:f>SUMIFS('Categorias'!$F$4:$F$1347,'Categorias'!$E$4:$E$1347,B80,'Categorias'!$A$4:$A$1347,J$3)</x:f>
        <x:v>11826</x:v>
      </x:c>
      <x:c r="K80" s="28" t="n">
        <x:f>SUMIFS('Categorias'!$F$4:$F$1347,'Categorias'!$E$4:$E$1347,B80,'Categorias'!$A$4:$A$1347,K$3)</x:f>
        <x:v>0</x:v>
      </x:c>
      <x:c r="L80" s="28" t="n">
        <x:f>SUMIFS('Categorias'!$F$4:$F$1347,'Categorias'!$E$4:$E$1347,B80,'Categorias'!$A$4:$A$1347,L$3)</x:f>
        <x:v>1776</x:v>
      </x:c>
      <x:c r="M80" s="28" t="n">
        <x:f>SUMIFS('Categorias'!$F$4:$F$1347,'Categorias'!$E$4:$E$1347,B80,'Categorias'!$A$4:$A$1347,M$3)</x:f>
        <x:v>0</x:v>
      </x:c>
      <x:c r="N80" s="47" t="n">
        <x:f>SUMIFS('Categorias'!$F$4:$F$1347,'Categorias'!$E$4:$E$1347,B80,'Categorias'!$A$4:$A$1347,N$3)</x:f>
        <x:v>11012</x:v>
      </x:c>
    </x:row>
    <x:row r="81">
      <x:c r="A81" s="39" t="n">
        <x:f>RANK.EQ(C81,$C$4:$C$273,0)</x:f>
        <x:v>78</x:v>
      </x:c>
      <x:c r="B81" s="40" t="str">
        <x:v>Elga7id</x:v>
      </x:c>
      <x:c r="C81" s="28" t="n">
        <x:f>SUMIF('Categorias'!$E$4:$E$1347,B81,'Categorias'!$F$4:$F$1347)</x:f>
        <x:v>839215</x:v>
      </x:c>
      <x:c r="D81" s="28" t="n">
        <x:f>SUMIFS('Categorias'!$F$4:$F$1347,'Categorias'!$E$4:$E$1347,B81,'Categorias'!$A$4:$A$1347,D$3)</x:f>
        <x:v>710765</x:v>
      </x:c>
      <x:c r="E81" s="28" t="n">
        <x:f>SUMIFS('Categorias'!$F$4:$F$1347,'Categorias'!$E$4:$E$1347,B81,'Categorias'!$A$4:$A$1347,E$3)</x:f>
        <x:v>128286</x:v>
      </x:c>
      <x:c r="F81" s="28" t="n">
        <x:f>SUMIFS('Categorias'!$F$4:$F$1347,'Categorias'!$E$4:$E$1347,B81,'Categorias'!$A$4:$A$1347,F$3)</x:f>
        <x:v>0</x:v>
      </x:c>
      <x:c r="G81" s="28" t="n">
        <x:f>SUMIFS('Categorias'!$F$4:$F$1347,'Categorias'!$E$4:$E$1347,B81,'Categorias'!$A$4:$A$1347,G$3)</x:f>
        <x:v>0</x:v>
      </x:c>
      <x:c r="H81" s="28" t="n">
        <x:f>SUMIFS('Categorias'!$F$4:$F$1347,'Categorias'!$E$4:$E$1347,B81,'Categorias'!$A$4:$A$1347,H$3)</x:f>
        <x:v>164</x:v>
      </x:c>
      <x:c r="I81" s="28" t="n">
        <x:f>SUMIFS('Categorias'!$F$4:$F$1347,'Categorias'!$E$4:$E$1347,B81,'Categorias'!$A$4:$A$1347,I$3)</x:f>
        <x:v>0</x:v>
      </x:c>
      <x:c r="J81" s="28" t="n">
        <x:f>SUMIFS('Categorias'!$F$4:$F$1347,'Categorias'!$E$4:$E$1347,B81,'Categorias'!$A$4:$A$1347,J$3)</x:f>
        <x:v>0</x:v>
      </x:c>
      <x:c r="K81" s="28" t="n">
        <x:f>SUMIFS('Categorias'!$F$4:$F$1347,'Categorias'!$E$4:$E$1347,B81,'Categorias'!$A$4:$A$1347,K$3)</x:f>
        <x:v>0</x:v>
      </x:c>
      <x:c r="L81" s="28" t="n">
        <x:f>SUMIFS('Categorias'!$F$4:$F$1347,'Categorias'!$E$4:$E$1347,B81,'Categorias'!$A$4:$A$1347,L$3)</x:f>
        <x:v>0</x:v>
      </x:c>
      <x:c r="M81" s="28" t="n">
        <x:f>SUMIFS('Categorias'!$F$4:$F$1347,'Categorias'!$E$4:$E$1347,B81,'Categorias'!$A$4:$A$1347,M$3)</x:f>
        <x:v>0</x:v>
      </x:c>
      <x:c r="N81" s="47" t="n">
        <x:f>SUMIFS('Categorias'!$F$4:$F$1347,'Categorias'!$E$4:$E$1347,B81,'Categorias'!$A$4:$A$1347,N$3)</x:f>
        <x:v>0</x:v>
      </x:c>
    </x:row>
    <x:row r="82">
      <x:c r="A82" s="39" t="n">
        <x:f>RANK.EQ(C82,$C$4:$C$273,0)</x:f>
        <x:v>79</x:v>
      </x:c>
      <x:c r="B82" s="40" t="str">
        <x:v>Jabiroca1</x:v>
      </x:c>
      <x:c r="C82" s="28" t="n">
        <x:f>SUMIF('Categorias'!$E$4:$E$1347,B82,'Categorias'!$F$4:$F$1347)</x:f>
        <x:v>815612</x:v>
      </x:c>
      <x:c r="D82" s="28" t="n">
        <x:f>SUMIFS('Categorias'!$F$4:$F$1347,'Categorias'!$E$4:$E$1347,B82,'Categorias'!$A$4:$A$1347,D$3)</x:f>
        <x:v>532787</x:v>
      </x:c>
      <x:c r="E82" s="28" t="n">
        <x:f>SUMIFS('Categorias'!$F$4:$F$1347,'Categorias'!$E$4:$E$1347,B82,'Categorias'!$A$4:$A$1347,E$3)</x:f>
        <x:v>74006</x:v>
      </x:c>
      <x:c r="F82" s="28" t="n">
        <x:f>SUMIFS('Categorias'!$F$4:$F$1347,'Categorias'!$E$4:$E$1347,B82,'Categorias'!$A$4:$A$1347,F$3)</x:f>
        <x:v>6569</x:v>
      </x:c>
      <x:c r="G82" s="28" t="n">
        <x:f>SUMIFS('Categorias'!$F$4:$F$1347,'Categorias'!$E$4:$E$1347,B82,'Categorias'!$A$4:$A$1347,G$3)</x:f>
        <x:v>54600</x:v>
      </x:c>
      <x:c r="H82" s="28" t="n">
        <x:f>SUMIFS('Categorias'!$F$4:$F$1347,'Categorias'!$E$4:$E$1347,B82,'Categorias'!$A$4:$A$1347,H$3)</x:f>
        <x:v>34720</x:v>
      </x:c>
      <x:c r="I82" s="28" t="n">
        <x:f>SUMIFS('Categorias'!$F$4:$F$1347,'Categorias'!$E$4:$E$1347,B82,'Categorias'!$A$4:$A$1347,I$3)</x:f>
        <x:v>42286</x:v>
      </x:c>
      <x:c r="J82" s="28" t="n">
        <x:f>SUMIFS('Categorias'!$F$4:$F$1347,'Categorias'!$E$4:$E$1347,B82,'Categorias'!$A$4:$A$1347,J$3)</x:f>
        <x:v>64024</x:v>
      </x:c>
      <x:c r="K82" s="28" t="n">
        <x:f>SUMIFS('Categorias'!$F$4:$F$1347,'Categorias'!$E$4:$E$1347,B82,'Categorias'!$A$4:$A$1347,K$3)</x:f>
        <x:v>0</x:v>
      </x:c>
      <x:c r="L82" s="28" t="n">
        <x:f>SUMIFS('Categorias'!$F$4:$F$1347,'Categorias'!$E$4:$E$1347,B82,'Categorias'!$A$4:$A$1347,L$3)</x:f>
        <x:v>336</x:v>
      </x:c>
      <x:c r="M82" s="28" t="n">
        <x:f>SUMIFS('Categorias'!$F$4:$F$1347,'Categorias'!$E$4:$E$1347,B82,'Categorias'!$A$4:$A$1347,M$3)</x:f>
        <x:v>0</x:v>
      </x:c>
      <x:c r="N82" s="47" t="n">
        <x:f>SUMIFS('Categorias'!$F$4:$F$1347,'Categorias'!$E$4:$E$1347,B82,'Categorias'!$A$4:$A$1347,N$3)</x:f>
        <x:v>6284</x:v>
      </x:c>
    </x:row>
    <x:row r="83">
      <x:c r="A83" s="39" t="n">
        <x:f>RANK.EQ(C83,$C$4:$C$273,0)</x:f>
        <x:v>80</x:v>
      </x:c>
      <x:c r="B83" s="40" t="str">
        <x:v>ImPetty</x:v>
      </x:c>
      <x:c r="C83" s="28" t="n">
        <x:f>SUMIF('Categorias'!$E$4:$E$1347,B83,'Categorias'!$F$4:$F$1347)</x:f>
        <x:v>776047</x:v>
      </x:c>
      <x:c r="D83" s="28" t="n">
        <x:f>SUMIFS('Categorias'!$F$4:$F$1347,'Categorias'!$E$4:$E$1347,B83,'Categorias'!$A$4:$A$1347,D$3)</x:f>
        <x:v>776047</x:v>
      </x:c>
      <x:c r="E83" s="28" t="n">
        <x:f>SUMIFS('Categorias'!$F$4:$F$1347,'Categorias'!$E$4:$E$1347,B83,'Categorias'!$A$4:$A$1347,E$3)</x:f>
        <x:v>0</x:v>
      </x:c>
      <x:c r="F83" s="28" t="n">
        <x:f>SUMIFS('Categorias'!$F$4:$F$1347,'Categorias'!$E$4:$E$1347,B83,'Categorias'!$A$4:$A$1347,F$3)</x:f>
        <x:v>0</x:v>
      </x:c>
      <x:c r="G83" s="28" t="n">
        <x:f>SUMIFS('Categorias'!$F$4:$F$1347,'Categorias'!$E$4:$E$1347,B83,'Categorias'!$A$4:$A$1347,G$3)</x:f>
        <x:v>0</x:v>
      </x:c>
      <x:c r="H83" s="28" t="n">
        <x:f>SUMIFS('Categorias'!$F$4:$F$1347,'Categorias'!$E$4:$E$1347,B83,'Categorias'!$A$4:$A$1347,H$3)</x:f>
        <x:v>0</x:v>
      </x:c>
      <x:c r="I83" s="28" t="n">
        <x:f>SUMIFS('Categorias'!$F$4:$F$1347,'Categorias'!$E$4:$E$1347,B83,'Categorias'!$A$4:$A$1347,I$3)</x:f>
        <x:v>0</x:v>
      </x:c>
      <x:c r="J83" s="28" t="n">
        <x:f>SUMIFS('Categorias'!$F$4:$F$1347,'Categorias'!$E$4:$E$1347,B83,'Categorias'!$A$4:$A$1347,J$3)</x:f>
        <x:v>0</x:v>
      </x:c>
      <x:c r="K83" s="28" t="n">
        <x:f>SUMIFS('Categorias'!$F$4:$F$1347,'Categorias'!$E$4:$E$1347,B83,'Categorias'!$A$4:$A$1347,K$3)</x:f>
        <x:v>0</x:v>
      </x:c>
      <x:c r="L83" s="28" t="n">
        <x:f>SUMIFS('Categorias'!$F$4:$F$1347,'Categorias'!$E$4:$E$1347,B83,'Categorias'!$A$4:$A$1347,L$3)</x:f>
        <x:v>0</x:v>
      </x:c>
      <x:c r="M83" s="28" t="n">
        <x:f>SUMIFS('Categorias'!$F$4:$F$1347,'Categorias'!$E$4:$E$1347,B83,'Categorias'!$A$4:$A$1347,M$3)</x:f>
        <x:v>0</x:v>
      </x:c>
      <x:c r="N83" s="47" t="n">
        <x:f>SUMIFS('Categorias'!$F$4:$F$1347,'Categorias'!$E$4:$E$1347,B83,'Categorias'!$A$4:$A$1347,N$3)</x:f>
        <x:v>0</x:v>
      </x:c>
    </x:row>
    <x:row r="84">
      <x:c r="A84" s="39" t="n">
        <x:f>RANK.EQ(C84,$C$4:$C$273,0)</x:f>
        <x:v>81</x:v>
      </x:c>
      <x:c r="B84" s="40" t="str">
        <x:v>okiteKomi</x:v>
      </x:c>
      <x:c r="C84" s="28" t="n">
        <x:f>SUMIF('Categorias'!$E$4:$E$1347,B84,'Categorias'!$F$4:$F$1347)</x:f>
        <x:v>767493</x:v>
      </x:c>
      <x:c r="D84" s="28" t="n">
        <x:f>SUMIFS('Categorias'!$F$4:$F$1347,'Categorias'!$E$4:$E$1347,B84,'Categorias'!$A$4:$A$1347,D$3)</x:f>
        <x:v>623662</x:v>
      </x:c>
      <x:c r="E84" s="28" t="n">
        <x:f>SUMIFS('Categorias'!$F$4:$F$1347,'Categorias'!$E$4:$E$1347,B84,'Categorias'!$A$4:$A$1347,E$3)</x:f>
        <x:v>0</x:v>
      </x:c>
      <x:c r="F84" s="28" t="n">
        <x:f>SUMIFS('Categorias'!$F$4:$F$1347,'Categorias'!$E$4:$E$1347,B84,'Categorias'!$A$4:$A$1347,F$3)</x:f>
        <x:v>0</x:v>
      </x:c>
      <x:c r="G84" s="28" t="n">
        <x:f>SUMIFS('Categorias'!$F$4:$F$1347,'Categorias'!$E$4:$E$1347,B84,'Categorias'!$A$4:$A$1347,G$3)</x:f>
        <x:v>0</x:v>
      </x:c>
      <x:c r="H84" s="28" t="n">
        <x:f>SUMIFS('Categorias'!$F$4:$F$1347,'Categorias'!$E$4:$E$1347,B84,'Categorias'!$A$4:$A$1347,H$3)</x:f>
        <x:v>0</x:v>
      </x:c>
      <x:c r="I84" s="28" t="n">
        <x:f>SUMIFS('Categorias'!$F$4:$F$1347,'Categorias'!$E$4:$E$1347,B84,'Categorias'!$A$4:$A$1347,I$3)</x:f>
        <x:v>0</x:v>
      </x:c>
      <x:c r="J84" s="28" t="n">
        <x:f>SUMIFS('Categorias'!$F$4:$F$1347,'Categorias'!$E$4:$E$1347,B84,'Categorias'!$A$4:$A$1347,J$3)</x:f>
        <x:v>0</x:v>
      </x:c>
      <x:c r="K84" s="28" t="n">
        <x:f>SUMIFS('Categorias'!$F$4:$F$1347,'Categorias'!$E$4:$E$1347,B84,'Categorias'!$A$4:$A$1347,K$3)</x:f>
        <x:v>0</x:v>
      </x:c>
      <x:c r="L84" s="28" t="n">
        <x:f>SUMIFS('Categorias'!$F$4:$F$1347,'Categorias'!$E$4:$E$1347,B84,'Categorias'!$A$4:$A$1347,L$3)</x:f>
        <x:v>0</x:v>
      </x:c>
      <x:c r="M84" s="28" t="n">
        <x:f>SUMIFS('Categorias'!$F$4:$F$1347,'Categorias'!$E$4:$E$1347,B84,'Categorias'!$A$4:$A$1347,M$3)</x:f>
        <x:v>0</x:v>
      </x:c>
      <x:c r="N84" s="47" t="n">
        <x:f>SUMIFS('Categorias'!$F$4:$F$1347,'Categorias'!$E$4:$E$1347,B84,'Categorias'!$A$4:$A$1347,N$3)</x:f>
        <x:v>0</x:v>
      </x:c>
    </x:row>
    <x:row r="85">
      <x:c r="A85" s="39" t="n">
        <x:f>RANK.EQ(C85,$C$4:$C$273,0)</x:f>
        <x:v>82</x:v>
      </x:c>
      <x:c r="B85" s="40" t="str">
        <x:v>Aradzin</x:v>
      </x:c>
      <x:c r="C85" s="28" t="n">
        <x:f>SUMIF('Categorias'!$E$4:$E$1347,B85,'Categorias'!$F$4:$F$1347)</x:f>
        <x:v>767289</x:v>
      </x:c>
      <x:c r="D85" s="28" t="n">
        <x:f>SUMIFS('Categorias'!$F$4:$F$1347,'Categorias'!$E$4:$E$1347,B85,'Categorias'!$A$4:$A$1347,D$3)</x:f>
        <x:v>764229</x:v>
      </x:c>
      <x:c r="E85" s="28" t="n">
        <x:f>SUMIFS('Categorias'!$F$4:$F$1347,'Categorias'!$E$4:$E$1347,B85,'Categorias'!$A$4:$A$1347,E$3)</x:f>
        <x:v>2333</x:v>
      </x:c>
      <x:c r="F85" s="28" t="n">
        <x:f>SUMIFS('Categorias'!$F$4:$F$1347,'Categorias'!$E$4:$E$1347,B85,'Categorias'!$A$4:$A$1347,F$3)</x:f>
        <x:v>0</x:v>
      </x:c>
      <x:c r="G85" s="28" t="n">
        <x:f>SUMIFS('Categorias'!$F$4:$F$1347,'Categorias'!$E$4:$E$1347,B85,'Categorias'!$A$4:$A$1347,G$3)</x:f>
        <x:v>0</x:v>
      </x:c>
      <x:c r="H85" s="28" t="n">
        <x:f>SUMIFS('Categorias'!$F$4:$F$1347,'Categorias'!$E$4:$E$1347,B85,'Categorias'!$A$4:$A$1347,H$3)</x:f>
        <x:v>656</x:v>
      </x:c>
      <x:c r="I85" s="28" t="n">
        <x:f>SUMIFS('Categorias'!$F$4:$F$1347,'Categorias'!$E$4:$E$1347,B85,'Categorias'!$A$4:$A$1347,I$3)</x:f>
        <x:v>71</x:v>
      </x:c>
      <x:c r="J85" s="28" t="n">
        <x:f>SUMIFS('Categorias'!$F$4:$F$1347,'Categorias'!$E$4:$E$1347,B85,'Categorias'!$A$4:$A$1347,J$3)</x:f>
        <x:v>0</x:v>
      </x:c>
      <x:c r="K85" s="28" t="n">
        <x:f>SUMIFS('Categorias'!$F$4:$F$1347,'Categorias'!$E$4:$E$1347,B85,'Categorias'!$A$4:$A$1347,K$3)</x:f>
        <x:v>0</x:v>
      </x:c>
      <x:c r="L85" s="28" t="n">
        <x:f>SUMIFS('Categorias'!$F$4:$F$1347,'Categorias'!$E$4:$E$1347,B85,'Categorias'!$A$4:$A$1347,L$3)</x:f>
        <x:v>0</x:v>
      </x:c>
      <x:c r="M85" s="28" t="n">
        <x:f>SUMIFS('Categorias'!$F$4:$F$1347,'Categorias'!$E$4:$E$1347,B85,'Categorias'!$A$4:$A$1347,M$3)</x:f>
        <x:v>0</x:v>
      </x:c>
      <x:c r="N85" s="47" t="n">
        <x:f>SUMIFS('Categorias'!$F$4:$F$1347,'Categorias'!$E$4:$E$1347,B85,'Categorias'!$A$4:$A$1347,N$3)</x:f>
        <x:v>0</x:v>
      </x:c>
    </x:row>
    <x:row r="86">
      <x:c r="A86" s="39" t="n">
        <x:f>RANK.EQ(C86,$C$4:$C$273,0)</x:f>
        <x:v>83</x:v>
      </x:c>
      <x:c r="B86" s="40" t="str">
        <x:v>vadisley</x:v>
      </x:c>
      <x:c r="C86" s="28" t="n">
        <x:f>SUMIF('Categorias'!$E$4:$E$1347,B86,'Categorias'!$F$4:$F$1347)</x:f>
        <x:v>667492</x:v>
      </x:c>
      <x:c r="D86" s="28" t="n">
        <x:f>SUMIFS('Categorias'!$F$4:$F$1347,'Categorias'!$E$4:$E$1347,B86,'Categorias'!$A$4:$A$1347,D$3)</x:f>
        <x:v>389888</x:v>
      </x:c>
      <x:c r="E86" s="28" t="n">
        <x:f>SUMIFS('Categorias'!$F$4:$F$1347,'Categorias'!$E$4:$E$1347,B86,'Categorias'!$A$4:$A$1347,E$3)</x:f>
        <x:v>81278</x:v>
      </x:c>
      <x:c r="F86" s="28" t="n">
        <x:f>SUMIFS('Categorias'!$F$4:$F$1347,'Categorias'!$E$4:$E$1347,B86,'Categorias'!$A$4:$A$1347,F$3)</x:f>
        <x:v>1536</x:v>
      </x:c>
      <x:c r="G86" s="28" t="n">
        <x:f>SUMIFS('Categorias'!$F$4:$F$1347,'Categorias'!$E$4:$E$1347,B86,'Categorias'!$A$4:$A$1347,G$3)</x:f>
        <x:v>24182</x:v>
      </x:c>
      <x:c r="H86" s="28" t="n">
        <x:f>SUMIFS('Categorias'!$F$4:$F$1347,'Categorias'!$E$4:$E$1347,B86,'Categorias'!$A$4:$A$1347,H$3)</x:f>
        <x:v>15051</x:v>
      </x:c>
      <x:c r="I86" s="28" t="n">
        <x:f>SUMIFS('Categorias'!$F$4:$F$1347,'Categorias'!$E$4:$E$1347,B86,'Categorias'!$A$4:$A$1347,I$3)</x:f>
        <x:v>107889</x:v>
      </x:c>
      <x:c r="J86" s="28" t="n">
        <x:f>SUMIFS('Categorias'!$F$4:$F$1347,'Categorias'!$E$4:$E$1347,B86,'Categorias'!$A$4:$A$1347,J$3)</x:f>
        <x:v>12060</x:v>
      </x:c>
      <x:c r="K86" s="28" t="n">
        <x:f>SUMIFS('Categorias'!$F$4:$F$1347,'Categorias'!$E$4:$E$1347,B86,'Categorias'!$A$4:$A$1347,K$3)</x:f>
        <x:v>0</x:v>
      </x:c>
      <x:c r="L86" s="28" t="n">
        <x:f>SUMIFS('Categorias'!$F$4:$F$1347,'Categorias'!$E$4:$E$1347,B86,'Categorias'!$A$4:$A$1347,L$3)</x:f>
        <x:v>0</x:v>
      </x:c>
      <x:c r="M86" s="28" t="n">
        <x:f>SUMIFS('Categorias'!$F$4:$F$1347,'Categorias'!$E$4:$E$1347,B86,'Categorias'!$A$4:$A$1347,M$3)</x:f>
        <x:v>0</x:v>
      </x:c>
      <x:c r="N86" s="47" t="n">
        <x:f>SUMIFS('Categorias'!$F$4:$F$1347,'Categorias'!$E$4:$E$1347,B86,'Categorias'!$A$4:$A$1347,N$3)</x:f>
        <x:v>35608</x:v>
      </x:c>
    </x:row>
    <x:row r="87">
      <x:c r="A87" s="39" t="n">
        <x:f>RANK.EQ(C87,$C$4:$C$273,0)</x:f>
        <x:v>84</x:v>
      </x:c>
      <x:c r="B87" s="40" t="str">
        <x:v>MachoAlpha</x:v>
      </x:c>
      <x:c r="C87" s="28" t="n">
        <x:f>SUMIF('Categorias'!$E$4:$E$1347,B87,'Categorias'!$F$4:$F$1347)</x:f>
        <x:v>667185</x:v>
      </x:c>
      <x:c r="D87" s="28" t="n">
        <x:f>SUMIFS('Categorias'!$F$4:$F$1347,'Categorias'!$E$4:$E$1347,B87,'Categorias'!$A$4:$A$1347,D$3)</x:f>
        <x:v>572024</x:v>
      </x:c>
      <x:c r="E87" s="28" t="n">
        <x:f>SUMIFS('Categorias'!$F$4:$F$1347,'Categorias'!$E$4:$E$1347,B87,'Categorias'!$A$4:$A$1347,E$3)</x:f>
        <x:v>21151</x:v>
      </x:c>
      <x:c r="F87" s="28" t="n">
        <x:f>SUMIFS('Categorias'!$F$4:$F$1347,'Categorias'!$E$4:$E$1347,B87,'Categorias'!$A$4:$A$1347,F$3)</x:f>
        <x:v>20881</x:v>
      </x:c>
      <x:c r="G87" s="28" t="n">
        <x:f>SUMIFS('Categorias'!$F$4:$F$1347,'Categorias'!$E$4:$E$1347,B87,'Categorias'!$A$4:$A$1347,G$3)</x:f>
        <x:v>16894</x:v>
      </x:c>
      <x:c r="H87" s="28" t="n">
        <x:f>SUMIFS('Categorias'!$F$4:$F$1347,'Categorias'!$E$4:$E$1347,B87,'Categorias'!$A$4:$A$1347,H$3)</x:f>
        <x:v>20037</x:v>
      </x:c>
      <x:c r="I87" s="28" t="n">
        <x:f>SUMIFS('Categorias'!$F$4:$F$1347,'Categorias'!$E$4:$E$1347,B87,'Categorias'!$A$4:$A$1347,I$3)</x:f>
        <x:v>677</x:v>
      </x:c>
      <x:c r="J87" s="28" t="n">
        <x:f>SUMIFS('Categorias'!$F$4:$F$1347,'Categorias'!$E$4:$E$1347,B87,'Categorias'!$A$4:$A$1347,J$3)</x:f>
        <x:v>14504</x:v>
      </x:c>
      <x:c r="K87" s="28" t="n">
        <x:f>SUMIFS('Categorias'!$F$4:$F$1347,'Categorias'!$E$4:$E$1347,B87,'Categorias'!$A$4:$A$1347,K$3)</x:f>
        <x:v>0</x:v>
      </x:c>
      <x:c r="L87" s="28" t="n">
        <x:f>SUMIFS('Categorias'!$F$4:$F$1347,'Categorias'!$E$4:$E$1347,B87,'Categorias'!$A$4:$A$1347,L$3)</x:f>
        <x:v>728</x:v>
      </x:c>
      <x:c r="M87" s="28" t="n">
        <x:f>SUMIFS('Categorias'!$F$4:$F$1347,'Categorias'!$E$4:$E$1347,B87,'Categorias'!$A$4:$A$1347,M$3)</x:f>
        <x:v>289</x:v>
      </x:c>
      <x:c r="N87" s="47" t="n">
        <x:f>SUMIFS('Categorias'!$F$4:$F$1347,'Categorias'!$E$4:$E$1347,B87,'Categorias'!$A$4:$A$1347,N$3)</x:f>
        <x:v>0</x:v>
      </x:c>
    </x:row>
    <x:row r="88">
      <x:c r="A88" s="39" t="n">
        <x:f>RANK.EQ(C88,$C$4:$C$273,0)</x:f>
        <x:v>85</x:v>
      </x:c>
      <x:c r="B88" s="40" t="str">
        <x:v>LuiziN</x:v>
      </x:c>
      <x:c r="C88" s="28" t="n">
        <x:f>SUMIF('Categorias'!$E$4:$E$1347,B88,'Categorias'!$F$4:$F$1347)</x:f>
        <x:v>658798</x:v>
      </x:c>
      <x:c r="D88" s="28" t="n">
        <x:f>SUMIFS('Categorias'!$F$4:$F$1347,'Categorias'!$E$4:$E$1347,B88,'Categorias'!$A$4:$A$1347,D$3)</x:f>
        <x:v>552596</x:v>
      </x:c>
      <x:c r="E88" s="28" t="n">
        <x:f>SUMIFS('Categorias'!$F$4:$F$1347,'Categorias'!$E$4:$E$1347,B88,'Categorias'!$A$4:$A$1347,E$3)</x:f>
        <x:v>86572</x:v>
      </x:c>
      <x:c r="F88" s="28" t="n">
        <x:f>SUMIFS('Categorias'!$F$4:$F$1347,'Categorias'!$E$4:$E$1347,B88,'Categorias'!$A$4:$A$1347,F$3)</x:f>
        <x:v>1917</x:v>
      </x:c>
      <x:c r="G88" s="28" t="n">
        <x:f>SUMIFS('Categorias'!$F$4:$F$1347,'Categorias'!$E$4:$E$1347,B88,'Categorias'!$A$4:$A$1347,G$3)</x:f>
        <x:v>1706</x:v>
      </x:c>
      <x:c r="H88" s="28" t="n">
        <x:f>SUMIFS('Categorias'!$F$4:$F$1347,'Categorias'!$E$4:$E$1347,B88,'Categorias'!$A$4:$A$1347,H$3)</x:f>
        <x:v>8860</x:v>
      </x:c>
      <x:c r="I88" s="28" t="n">
        <x:f>SUMIFS('Categorias'!$F$4:$F$1347,'Categorias'!$E$4:$E$1347,B88,'Categorias'!$A$4:$A$1347,I$3)</x:f>
        <x:v>1749</x:v>
      </x:c>
      <x:c r="J88" s="28" t="n">
        <x:f>SUMIFS('Categorias'!$F$4:$F$1347,'Categorias'!$E$4:$E$1347,B88,'Categorias'!$A$4:$A$1347,J$3)</x:f>
        <x:v>1132</x:v>
      </x:c>
      <x:c r="K88" s="28" t="n">
        <x:f>SUMIFS('Categorias'!$F$4:$F$1347,'Categorias'!$E$4:$E$1347,B88,'Categorias'!$A$4:$A$1347,K$3)</x:f>
        <x:v>0</x:v>
      </x:c>
      <x:c r="L88" s="28" t="n">
        <x:f>SUMIFS('Categorias'!$F$4:$F$1347,'Categorias'!$E$4:$E$1347,B88,'Categorias'!$A$4:$A$1347,L$3)</x:f>
        <x:v>1344</x:v>
      </x:c>
      <x:c r="M88" s="28" t="n">
        <x:f>SUMIFS('Categorias'!$F$4:$F$1347,'Categorias'!$E$4:$E$1347,B88,'Categorias'!$A$4:$A$1347,M$3)</x:f>
        <x:v>0</x:v>
      </x:c>
      <x:c r="N88" s="47" t="n">
        <x:f>SUMIFS('Categorias'!$F$4:$F$1347,'Categorias'!$E$4:$E$1347,B88,'Categorias'!$A$4:$A$1347,N$3)</x:f>
        <x:v>2922</x:v>
      </x:c>
    </x:row>
    <x:row r="89">
      <x:c r="A89" s="39" t="n">
        <x:f>RANK.EQ(C89,$C$4:$C$273,0)</x:f>
        <x:v>86</x:v>
      </x:c>
      <x:c r="B89" s="40" t="str">
        <x:v>OlhaOPassarinho</x:v>
      </x:c>
      <x:c r="C89" s="28" t="n">
        <x:f>SUMIF('Categorias'!$E$4:$E$1347,B89,'Categorias'!$F$4:$F$1347)</x:f>
        <x:v>634093</x:v>
      </x:c>
      <x:c r="D89" s="28" t="n">
        <x:f>SUMIFS('Categorias'!$F$4:$F$1347,'Categorias'!$E$4:$E$1347,B89,'Categorias'!$A$4:$A$1347,D$3)</x:f>
        <x:v>504379</x:v>
      </x:c>
      <x:c r="E89" s="28" t="n">
        <x:f>SUMIFS('Categorias'!$F$4:$F$1347,'Categorias'!$E$4:$E$1347,B89,'Categorias'!$A$4:$A$1347,E$3)</x:f>
        <x:v>16269</x:v>
      </x:c>
      <x:c r="F89" s="28" t="n">
        <x:f>SUMIFS('Categorias'!$F$4:$F$1347,'Categorias'!$E$4:$E$1347,B89,'Categorias'!$A$4:$A$1347,F$3)</x:f>
        <x:v>46048</x:v>
      </x:c>
      <x:c r="G89" s="28" t="n">
        <x:f>SUMIFS('Categorias'!$F$4:$F$1347,'Categorias'!$E$4:$E$1347,B89,'Categorias'!$A$4:$A$1347,G$3)</x:f>
        <x:v>3364</x:v>
      </x:c>
      <x:c r="H89" s="28" t="n">
        <x:f>SUMIFS('Categorias'!$F$4:$F$1347,'Categorias'!$E$4:$E$1347,B89,'Categorias'!$A$4:$A$1347,H$3)</x:f>
        <x:v>34332</x:v>
      </x:c>
      <x:c r="I89" s="28" t="n">
        <x:f>SUMIFS('Categorias'!$F$4:$F$1347,'Categorias'!$E$4:$E$1347,B89,'Categorias'!$A$4:$A$1347,I$3)</x:f>
        <x:v>0</x:v>
      </x:c>
      <x:c r="J89" s="28" t="n">
        <x:f>SUMIFS('Categorias'!$F$4:$F$1347,'Categorias'!$E$4:$E$1347,B89,'Categorias'!$A$4:$A$1347,J$3)</x:f>
        <x:v>25082</x:v>
      </x:c>
      <x:c r="K89" s="28" t="n">
        <x:f>SUMIFS('Categorias'!$F$4:$F$1347,'Categorias'!$E$4:$E$1347,B89,'Categorias'!$A$4:$A$1347,K$3)</x:f>
        <x:v>0</x:v>
      </x:c>
      <x:c r="L89" s="28" t="n">
        <x:f>SUMIFS('Categorias'!$F$4:$F$1347,'Categorias'!$E$4:$E$1347,B89,'Categorias'!$A$4:$A$1347,L$3)</x:f>
        <x:v>0</x:v>
      </x:c>
      <x:c r="M89" s="28" t="n">
        <x:f>SUMIFS('Categorias'!$F$4:$F$1347,'Categorias'!$E$4:$E$1347,B89,'Categorias'!$A$4:$A$1347,M$3)</x:f>
        <x:v>0</x:v>
      </x:c>
      <x:c r="N89" s="47" t="n">
        <x:f>SUMIFS('Categorias'!$F$4:$F$1347,'Categorias'!$E$4:$E$1347,B89,'Categorias'!$A$4:$A$1347,N$3)</x:f>
        <x:v>0</x:v>
      </x:c>
    </x:row>
    <x:row r="90">
      <x:c r="A90" s="39" t="n">
        <x:f>RANK.EQ(C90,$C$4:$C$273,0)</x:f>
        <x:v>87</x:v>
      </x:c>
      <x:c r="B90" s="40" t="str">
        <x:v>3YS4N</x:v>
      </x:c>
      <x:c r="C90" s="28" t="n">
        <x:f>SUMIF('Categorias'!$E$4:$E$1347,B90,'Categorias'!$F$4:$F$1347)</x:f>
        <x:v>614094</x:v>
      </x:c>
      <x:c r="D90" s="28" t="n">
        <x:f>SUMIFS('Categorias'!$F$4:$F$1347,'Categorias'!$E$4:$E$1347,B90,'Categorias'!$A$4:$A$1347,D$3)</x:f>
        <x:v>468173</x:v>
      </x:c>
      <x:c r="E90" s="28" t="n">
        <x:f>SUMIFS('Categorias'!$F$4:$F$1347,'Categorias'!$E$4:$E$1347,B90,'Categorias'!$A$4:$A$1347,E$3)</x:f>
        <x:v>21465</x:v>
      </x:c>
      <x:c r="F90" s="28" t="n">
        <x:f>SUMIFS('Categorias'!$F$4:$F$1347,'Categorias'!$E$4:$E$1347,B90,'Categorias'!$A$4:$A$1347,F$3)</x:f>
        <x:v>3899</x:v>
      </x:c>
      <x:c r="G90" s="28" t="n">
        <x:f>SUMIFS('Categorias'!$F$4:$F$1347,'Categorias'!$E$4:$E$1347,B90,'Categorias'!$A$4:$A$1347,G$3)</x:f>
        <x:v>0</x:v>
      </x:c>
      <x:c r="H90" s="28" t="n">
        <x:f>SUMIFS('Categorias'!$F$4:$F$1347,'Categorias'!$E$4:$E$1347,B90,'Categorias'!$A$4:$A$1347,H$3)</x:f>
        <x:v>27519</x:v>
      </x:c>
      <x:c r="I90" s="28" t="n">
        <x:f>SUMIFS('Categorias'!$F$4:$F$1347,'Categorias'!$E$4:$E$1347,B90,'Categorias'!$A$4:$A$1347,I$3)</x:f>
        <x:v>2538</x:v>
      </x:c>
      <x:c r="J90" s="28" t="n">
        <x:f>SUMIFS('Categorias'!$F$4:$F$1347,'Categorias'!$E$4:$E$1347,B90,'Categorias'!$A$4:$A$1347,J$3)</x:f>
        <x:v>88316</x:v>
      </x:c>
      <x:c r="K90" s="28" t="n">
        <x:f>SUMIFS('Categorias'!$F$4:$F$1347,'Categorias'!$E$4:$E$1347,B90,'Categorias'!$A$4:$A$1347,K$3)</x:f>
        <x:v>0</x:v>
      </x:c>
      <x:c r="L90" s="28" t="n">
        <x:f>SUMIFS('Categorias'!$F$4:$F$1347,'Categorias'!$E$4:$E$1347,B90,'Categorias'!$A$4:$A$1347,L$3)</x:f>
        <x:v>2184</x:v>
      </x:c>
      <x:c r="M90" s="28" t="n">
        <x:f>SUMIFS('Categorias'!$F$4:$F$1347,'Categorias'!$E$4:$E$1347,B90,'Categorias'!$A$4:$A$1347,M$3)</x:f>
        <x:v>0</x:v>
      </x:c>
      <x:c r="N90" s="47" t="n">
        <x:f>SUMIFS('Categorias'!$F$4:$F$1347,'Categorias'!$E$4:$E$1347,B90,'Categorias'!$A$4:$A$1347,N$3)</x:f>
        <x:v>0</x:v>
      </x:c>
    </x:row>
    <x:row r="91">
      <x:c r="A91" s="39" t="n">
        <x:f>RANK.EQ(C91,$C$4:$C$273,0)</x:f>
        <x:v>88</x:v>
      </x:c>
      <x:c r="B91" s="40" t="str">
        <x:v>MonetaryMike</x:v>
      </x:c>
      <x:c r="C91" s="28" t="n">
        <x:f>SUMIF('Categorias'!$E$4:$E$1347,B91,'Categorias'!$F$4:$F$1347)</x:f>
        <x:v>613850</x:v>
      </x:c>
      <x:c r="D91" s="28" t="n">
        <x:f>SUMIFS('Categorias'!$F$4:$F$1347,'Categorias'!$E$4:$E$1347,B91,'Categorias'!$A$4:$A$1347,D$3)</x:f>
        <x:v>417562</x:v>
      </x:c>
      <x:c r="E91" s="28" t="n">
        <x:f>SUMIFS('Categorias'!$F$4:$F$1347,'Categorias'!$E$4:$E$1347,B91,'Categorias'!$A$4:$A$1347,E$3)</x:f>
        <x:v>73115</x:v>
      </x:c>
      <x:c r="F91" s="28" t="n">
        <x:f>SUMIFS('Categorias'!$F$4:$F$1347,'Categorias'!$E$4:$E$1347,B91,'Categorias'!$A$4:$A$1347,F$3)</x:f>
        <x:v>8898</x:v>
      </x:c>
      <x:c r="G91" s="28" t="n">
        <x:f>SUMIFS('Categorias'!$F$4:$F$1347,'Categorias'!$E$4:$E$1347,B91,'Categorias'!$A$4:$A$1347,G$3)</x:f>
        <x:v>9097</x:v>
      </x:c>
      <x:c r="H91" s="28" t="n">
        <x:f>SUMIFS('Categorias'!$F$4:$F$1347,'Categorias'!$E$4:$E$1347,B91,'Categorias'!$A$4:$A$1347,H$3)</x:f>
        <x:v>59603</x:v>
      </x:c>
      <x:c r="I91" s="28" t="n">
        <x:f>SUMIFS('Categorias'!$F$4:$F$1347,'Categorias'!$E$4:$E$1347,B91,'Categorias'!$A$4:$A$1347,I$3)</x:f>
        <x:v>13584</x:v>
      </x:c>
      <x:c r="J91" s="28" t="n">
        <x:f>SUMIFS('Categorias'!$F$4:$F$1347,'Categorias'!$E$4:$E$1347,B91,'Categorias'!$A$4:$A$1347,J$3)</x:f>
        <x:v>27649</x:v>
      </x:c>
      <x:c r="K91" s="28" t="n">
        <x:f>SUMIFS('Categorias'!$F$4:$F$1347,'Categorias'!$E$4:$E$1347,B91,'Categorias'!$A$4:$A$1347,K$3)</x:f>
        <x:v>0</x:v>
      </x:c>
      <x:c r="L91" s="28" t="n">
        <x:f>SUMIFS('Categorias'!$F$4:$F$1347,'Categorias'!$E$4:$E$1347,B91,'Categorias'!$A$4:$A$1347,L$3)</x:f>
        <x:v>0</x:v>
      </x:c>
      <x:c r="M91" s="28" t="n">
        <x:f>SUMIFS('Categorias'!$F$4:$F$1347,'Categorias'!$E$4:$E$1347,B91,'Categorias'!$A$4:$A$1347,M$3)</x:f>
        <x:v>0</x:v>
      </x:c>
      <x:c r="N91" s="47" t="n">
        <x:f>SUMIFS('Categorias'!$F$4:$F$1347,'Categorias'!$E$4:$E$1347,B91,'Categorias'!$A$4:$A$1347,N$3)</x:f>
        <x:v>4342</x:v>
      </x:c>
    </x:row>
    <x:row r="92">
      <x:c r="A92" s="39" t="n">
        <x:f>RANK.EQ(C92,$C$4:$C$273,0)</x:f>
        <x:v>89</x:v>
      </x:c>
      <x:c r="B92" s="40" t="str">
        <x:v>morrty</x:v>
      </x:c>
      <x:c r="C92" s="28" t="n">
        <x:f>SUMIF('Categorias'!$E$4:$E$1347,B92,'Categorias'!$F$4:$F$1347)</x:f>
        <x:v>576524</x:v>
      </x:c>
      <x:c r="D92" s="28" t="n">
        <x:f>SUMIFS('Categorias'!$F$4:$F$1347,'Categorias'!$E$4:$E$1347,B92,'Categorias'!$A$4:$A$1347,D$3)</x:f>
        <x:v>517580</x:v>
      </x:c>
      <x:c r="E92" s="28" t="n">
        <x:f>SUMIFS('Categorias'!$F$4:$F$1347,'Categorias'!$E$4:$E$1347,B92,'Categorias'!$A$4:$A$1347,E$3)</x:f>
        <x:v>17833</x:v>
      </x:c>
      <x:c r="F92" s="28" t="n">
        <x:f>SUMIFS('Categorias'!$F$4:$F$1347,'Categorias'!$E$4:$E$1347,B92,'Categorias'!$A$4:$A$1347,F$3)</x:f>
        <x:v>1909</x:v>
      </x:c>
      <x:c r="G92" s="28" t="n">
        <x:f>SUMIFS('Categorias'!$F$4:$F$1347,'Categorias'!$E$4:$E$1347,B92,'Categorias'!$A$4:$A$1347,G$3)</x:f>
        <x:v>14367</x:v>
      </x:c>
      <x:c r="H92" s="28" t="n">
        <x:f>SUMIFS('Categorias'!$F$4:$F$1347,'Categorias'!$E$4:$E$1347,B92,'Categorias'!$A$4:$A$1347,H$3)</x:f>
        <x:v>5337</x:v>
      </x:c>
      <x:c r="I92" s="28" t="n">
        <x:f>SUMIFS('Categorias'!$F$4:$F$1347,'Categorias'!$E$4:$E$1347,B92,'Categorias'!$A$4:$A$1347,I$3)</x:f>
        <x:v>3136</x:v>
      </x:c>
      <x:c r="J92" s="28" t="n">
        <x:f>SUMIFS('Categorias'!$F$4:$F$1347,'Categorias'!$E$4:$E$1347,B92,'Categorias'!$A$4:$A$1347,J$3)</x:f>
        <x:v>15063</x:v>
      </x:c>
      <x:c r="K92" s="28" t="n">
        <x:f>SUMIFS('Categorias'!$F$4:$F$1347,'Categorias'!$E$4:$E$1347,B92,'Categorias'!$A$4:$A$1347,K$3)</x:f>
        <x:v>0</x:v>
      </x:c>
      <x:c r="L92" s="28" t="n">
        <x:f>SUMIFS('Categorias'!$F$4:$F$1347,'Categorias'!$E$4:$E$1347,B92,'Categorias'!$A$4:$A$1347,L$3)</x:f>
        <x:v>0</x:v>
      </x:c>
      <x:c r="M92" s="28" t="n">
        <x:f>SUMIFS('Categorias'!$F$4:$F$1347,'Categorias'!$E$4:$E$1347,B92,'Categorias'!$A$4:$A$1347,M$3)</x:f>
        <x:v>0</x:v>
      </x:c>
      <x:c r="N92" s="47" t="n">
        <x:f>SUMIFS('Categorias'!$F$4:$F$1347,'Categorias'!$E$4:$E$1347,B92,'Categorias'!$A$4:$A$1347,N$3)</x:f>
        <x:v>1299</x:v>
      </x:c>
    </x:row>
    <x:row r="93">
      <x:c r="A93" s="39" t="n">
        <x:f>RANK.EQ(C93,$C$4:$C$273,0)</x:f>
        <x:v>90</x:v>
      </x:c>
      <x:c r="B93" s="40" t="str">
        <x:v>SuSex</x:v>
      </x:c>
      <x:c r="C93" s="28" t="n">
        <x:f>SUMIF('Categorias'!$E$4:$E$1347,B93,'Categorias'!$F$4:$F$1347)</x:f>
        <x:v>548416</x:v>
      </x:c>
      <x:c r="D93" s="28" t="n">
        <x:f>SUMIFS('Categorias'!$F$4:$F$1347,'Categorias'!$E$4:$E$1347,B93,'Categorias'!$A$4:$A$1347,D$3)</x:f>
        <x:v>501599</x:v>
      </x:c>
      <x:c r="E93" s="28" t="n">
        <x:f>SUMIFS('Categorias'!$F$4:$F$1347,'Categorias'!$E$4:$E$1347,B93,'Categorias'!$A$4:$A$1347,E$3)</x:f>
        <x:v>15455</x:v>
      </x:c>
      <x:c r="F93" s="28" t="n">
        <x:f>SUMIFS('Categorias'!$F$4:$F$1347,'Categorias'!$E$4:$E$1347,B93,'Categorias'!$A$4:$A$1347,F$3)</x:f>
        <x:v>0</x:v>
      </x:c>
      <x:c r="G93" s="28" t="n">
        <x:f>SUMIFS('Categorias'!$F$4:$F$1347,'Categorias'!$E$4:$E$1347,B93,'Categorias'!$A$4:$A$1347,G$3)</x:f>
        <x:v>0</x:v>
      </x:c>
      <x:c r="H93" s="28" t="n">
        <x:f>SUMIFS('Categorias'!$F$4:$F$1347,'Categorias'!$E$4:$E$1347,B93,'Categorias'!$A$4:$A$1347,H$3)</x:f>
        <x:v>9929</x:v>
      </x:c>
      <x:c r="I93" s="28" t="n">
        <x:f>SUMIFS('Categorias'!$F$4:$F$1347,'Categorias'!$E$4:$E$1347,B93,'Categorias'!$A$4:$A$1347,I$3)</x:f>
        <x:v>671</x:v>
      </x:c>
      <x:c r="J93" s="28" t="n">
        <x:f>SUMIFS('Categorias'!$F$4:$F$1347,'Categorias'!$E$4:$E$1347,B93,'Categorias'!$A$4:$A$1347,J$3)</x:f>
        <x:v>751</x:v>
      </x:c>
      <x:c r="K93" s="28" t="n">
        <x:f>SUMIFS('Categorias'!$F$4:$F$1347,'Categorias'!$E$4:$E$1347,B93,'Categorias'!$A$4:$A$1347,K$3)</x:f>
        <x:v>4545</x:v>
      </x:c>
      <x:c r="L93" s="28" t="n">
        <x:f>SUMIFS('Categorias'!$F$4:$F$1347,'Categorias'!$E$4:$E$1347,B93,'Categorias'!$A$4:$A$1347,L$3)</x:f>
        <x:v>10933</x:v>
      </x:c>
      <x:c r="M93" s="28" t="n">
        <x:f>SUMIFS('Categorias'!$F$4:$F$1347,'Categorias'!$E$4:$E$1347,B93,'Categorias'!$A$4:$A$1347,M$3)</x:f>
        <x:v>4533</x:v>
      </x:c>
      <x:c r="N93" s="47" t="n">
        <x:f>SUMIFS('Categorias'!$F$4:$F$1347,'Categorias'!$E$4:$E$1347,B93,'Categorias'!$A$4:$A$1347,N$3)</x:f>
        <x:v>0</x:v>
      </x:c>
    </x:row>
    <x:row r="94">
      <x:c r="A94" s="39" t="n">
        <x:f>RANK.EQ(C94,$C$4:$C$273,0)</x:f>
        <x:v>91</x:v>
      </x:c>
      <x:c r="B94" s="40" t="str">
        <x:v>WarlockLord</x:v>
      </x:c>
      <x:c r="C94" s="28" t="n">
        <x:f>SUMIF('Categorias'!$E$4:$E$1347,B94,'Categorias'!$F$4:$F$1347)</x:f>
        <x:v>543694</x:v>
      </x:c>
      <x:c r="D94" s="28" t="n">
        <x:f>SUMIFS('Categorias'!$F$4:$F$1347,'Categorias'!$E$4:$E$1347,B94,'Categorias'!$A$4:$A$1347,D$3)</x:f>
        <x:v>412412</x:v>
      </x:c>
      <x:c r="E94" s="28" t="n">
        <x:f>SUMIFS('Categorias'!$F$4:$F$1347,'Categorias'!$E$4:$E$1347,B94,'Categorias'!$A$4:$A$1347,E$3)</x:f>
        <x:v>75058</x:v>
      </x:c>
      <x:c r="F94" s="28" t="n">
        <x:f>SUMIFS('Categorias'!$F$4:$F$1347,'Categorias'!$E$4:$E$1347,B94,'Categorias'!$A$4:$A$1347,F$3)</x:f>
        <x:v>743</x:v>
      </x:c>
      <x:c r="G94" s="28" t="n">
        <x:f>SUMIFS('Categorias'!$F$4:$F$1347,'Categorias'!$E$4:$E$1347,B94,'Categorias'!$A$4:$A$1347,G$3)</x:f>
        <x:v>0</x:v>
      </x:c>
      <x:c r="H94" s="28" t="n">
        <x:f>SUMIFS('Categorias'!$F$4:$F$1347,'Categorias'!$E$4:$E$1347,B94,'Categorias'!$A$4:$A$1347,H$3)</x:f>
        <x:v>21469</x:v>
      </x:c>
      <x:c r="I94" s="28" t="n">
        <x:f>SUMIFS('Categorias'!$F$4:$F$1347,'Categorias'!$E$4:$E$1347,B94,'Categorias'!$A$4:$A$1347,I$3)</x:f>
        <x:v>16834</x:v>
      </x:c>
      <x:c r="J94" s="28" t="n">
        <x:f>SUMIFS('Categorias'!$F$4:$F$1347,'Categorias'!$E$4:$E$1347,B94,'Categorias'!$A$4:$A$1347,J$3)</x:f>
        <x:v>17178</x:v>
      </x:c>
      <x:c r="K94" s="28" t="n">
        <x:f>SUMIFS('Categorias'!$F$4:$F$1347,'Categorias'!$E$4:$E$1347,B94,'Categorias'!$A$4:$A$1347,K$3)</x:f>
        <x:v>0</x:v>
      </x:c>
      <x:c r="L94" s="28" t="n">
        <x:f>SUMIFS('Categorias'!$F$4:$F$1347,'Categorias'!$E$4:$E$1347,B94,'Categorias'!$A$4:$A$1347,L$3)</x:f>
        <x:v>0</x:v>
      </x:c>
      <x:c r="M94" s="28" t="n">
        <x:f>SUMIFS('Categorias'!$F$4:$F$1347,'Categorias'!$E$4:$E$1347,B94,'Categorias'!$A$4:$A$1347,M$3)</x:f>
        <x:v>0</x:v>
      </x:c>
      <x:c r="N94" s="47" t="n">
        <x:f>SUMIFS('Categorias'!$F$4:$F$1347,'Categorias'!$E$4:$E$1347,B94,'Categorias'!$A$4:$A$1347,N$3)</x:f>
        <x:v>0</x:v>
      </x:c>
    </x:row>
    <x:row r="95">
      <x:c r="A95" s="39" t="n">
        <x:f>RANK.EQ(C95,$C$4:$C$273,0)</x:f>
        <x:v>92</x:v>
      </x:c>
      <x:c r="B95" s="40" t="str">
        <x:v>Sum0l</x:v>
      </x:c>
      <x:c r="C95" s="28" t="n">
        <x:f>SUMIF('Categorias'!$E$4:$E$1347,B95,'Categorias'!$F$4:$F$1347)</x:f>
        <x:v>537335</x:v>
      </x:c>
      <x:c r="D95" s="28" t="n">
        <x:f>SUMIFS('Categorias'!$F$4:$F$1347,'Categorias'!$E$4:$E$1347,B95,'Categorias'!$A$4:$A$1347,D$3)</x:f>
        <x:v>366559</x:v>
      </x:c>
      <x:c r="E95" s="28" t="n">
        <x:f>SUMIFS('Categorias'!$F$4:$F$1347,'Categorias'!$E$4:$E$1347,B95,'Categorias'!$A$4:$A$1347,E$3)</x:f>
        <x:v>37019</x:v>
      </x:c>
      <x:c r="F95" s="28" t="n">
        <x:f>SUMIFS('Categorias'!$F$4:$F$1347,'Categorias'!$E$4:$E$1347,B95,'Categorias'!$A$4:$A$1347,F$3)</x:f>
        <x:v>11721</x:v>
      </x:c>
      <x:c r="G95" s="28" t="n">
        <x:f>SUMIFS('Categorias'!$F$4:$F$1347,'Categorias'!$E$4:$E$1347,B95,'Categorias'!$A$4:$A$1347,G$3)</x:f>
        <x:v>26800</x:v>
      </x:c>
      <x:c r="H95" s="28" t="n">
        <x:f>SUMIFS('Categorias'!$F$4:$F$1347,'Categorias'!$E$4:$E$1347,B95,'Categorias'!$A$4:$A$1347,H$3)</x:f>
        <x:v>11045</x:v>
      </x:c>
      <x:c r="I95" s="28" t="n">
        <x:f>SUMIFS('Categorias'!$F$4:$F$1347,'Categorias'!$E$4:$E$1347,B95,'Categorias'!$A$4:$A$1347,I$3)</x:f>
        <x:v>46834</x:v>
      </x:c>
      <x:c r="J95" s="28" t="n">
        <x:f>SUMIFS('Categorias'!$F$4:$F$1347,'Categorias'!$E$4:$E$1347,B95,'Categorias'!$A$4:$A$1347,J$3)</x:f>
        <x:v>24474</x:v>
      </x:c>
      <x:c r="K95" s="28" t="n">
        <x:f>SUMIFS('Categorias'!$F$4:$F$1347,'Categorias'!$E$4:$E$1347,B95,'Categorias'!$A$4:$A$1347,K$3)</x:f>
        <x:v>0</x:v>
      </x:c>
      <x:c r="L95" s="28" t="n">
        <x:f>SUMIFS('Categorias'!$F$4:$F$1347,'Categorias'!$E$4:$E$1347,B95,'Categorias'!$A$4:$A$1347,L$3)</x:f>
        <x:v>0</x:v>
      </x:c>
      <x:c r="M95" s="28" t="n">
        <x:f>SUMIFS('Categorias'!$F$4:$F$1347,'Categorias'!$E$4:$E$1347,B95,'Categorias'!$A$4:$A$1347,M$3)</x:f>
        <x:v>0</x:v>
      </x:c>
      <x:c r="N95" s="47" t="n">
        <x:f>SUMIFS('Categorias'!$F$4:$F$1347,'Categorias'!$E$4:$E$1347,B95,'Categorias'!$A$4:$A$1347,N$3)</x:f>
        <x:v>12883</x:v>
      </x:c>
    </x:row>
    <x:row r="96">
      <x:c r="A96" s="39" t="n">
        <x:f>RANK.EQ(C96,$C$4:$C$273,0)</x:f>
        <x:v>93</x:v>
      </x:c>
      <x:c r="B96" s="40" t="str">
        <x:v>Kuntakint</x:v>
      </x:c>
      <x:c r="C96" s="28" t="n">
        <x:f>SUMIF('Categorias'!$E$4:$E$1347,B96,'Categorias'!$F$4:$F$1347)</x:f>
        <x:v>516832</x:v>
      </x:c>
      <x:c r="D96" s="28" t="n">
        <x:f>SUMIFS('Categorias'!$F$4:$F$1347,'Categorias'!$E$4:$E$1347,B96,'Categorias'!$A$4:$A$1347,D$3)</x:f>
        <x:v>477518</x:v>
      </x:c>
      <x:c r="E96" s="28" t="n">
        <x:f>SUMIFS('Categorias'!$F$4:$F$1347,'Categorias'!$E$4:$E$1347,B96,'Categorias'!$A$4:$A$1347,E$3)</x:f>
        <x:v>5835</x:v>
      </x:c>
      <x:c r="F96" s="28" t="n">
        <x:f>SUMIFS('Categorias'!$F$4:$F$1347,'Categorias'!$E$4:$E$1347,B96,'Categorias'!$A$4:$A$1347,F$3)</x:f>
        <x:v>4437</x:v>
      </x:c>
      <x:c r="G96" s="28" t="n">
        <x:f>SUMIFS('Categorias'!$F$4:$F$1347,'Categorias'!$E$4:$E$1347,B96,'Categorias'!$A$4:$A$1347,G$3)</x:f>
        <x:v>16786</x:v>
      </x:c>
      <x:c r="H96" s="28" t="n">
        <x:f>SUMIFS('Categorias'!$F$4:$F$1347,'Categorias'!$E$4:$E$1347,B96,'Categorias'!$A$4:$A$1347,H$3)</x:f>
        <x:v>1604</x:v>
      </x:c>
      <x:c r="I96" s="28" t="n">
        <x:f>SUMIFS('Categorias'!$F$4:$F$1347,'Categorias'!$E$4:$E$1347,B96,'Categorias'!$A$4:$A$1347,I$3)</x:f>
        <x:v>6947</x:v>
      </x:c>
      <x:c r="J96" s="28" t="n">
        <x:f>SUMIFS('Categorias'!$F$4:$F$1347,'Categorias'!$E$4:$E$1347,B96,'Categorias'!$A$4:$A$1347,J$3)</x:f>
        <x:v>2368</x:v>
      </x:c>
      <x:c r="K96" s="28" t="n">
        <x:f>SUMIFS('Categorias'!$F$4:$F$1347,'Categorias'!$E$4:$E$1347,B96,'Categorias'!$A$4:$A$1347,K$3)</x:f>
        <x:v>433</x:v>
      </x:c>
      <x:c r="L96" s="28" t="n">
        <x:f>SUMIFS('Categorias'!$F$4:$F$1347,'Categorias'!$E$4:$E$1347,B96,'Categorias'!$A$4:$A$1347,L$3)</x:f>
        <x:v>0</x:v>
      </x:c>
      <x:c r="M96" s="28" t="n">
        <x:f>SUMIFS('Categorias'!$F$4:$F$1347,'Categorias'!$E$4:$E$1347,B96,'Categorias'!$A$4:$A$1347,M$3)</x:f>
        <x:v>0</x:v>
      </x:c>
      <x:c r="N96" s="47" t="n">
        <x:f>SUMIFS('Categorias'!$F$4:$F$1347,'Categorias'!$E$4:$E$1347,B96,'Categorias'!$A$4:$A$1347,N$3)</x:f>
        <x:v>904</x:v>
      </x:c>
    </x:row>
    <x:row r="97">
      <x:c r="A97" s="39" t="n">
        <x:f>RANK.EQ(C97,$C$4:$C$273,0)</x:f>
        <x:v>94</x:v>
      </x:c>
      <x:c r="B97" s="40" t="str">
        <x:v>RVZZ24</x:v>
      </x:c>
      <x:c r="C97" s="28" t="n">
        <x:f>SUMIF('Categorias'!$E$4:$E$1347,B97,'Categorias'!$F$4:$F$1347)</x:f>
        <x:v>500629</x:v>
      </x:c>
      <x:c r="D97" s="28" t="n">
        <x:f>SUMIFS('Categorias'!$F$4:$F$1347,'Categorias'!$E$4:$E$1347,B97,'Categorias'!$A$4:$A$1347,D$3)</x:f>
        <x:v>500629</x:v>
      </x:c>
      <x:c r="E97" s="28" t="n">
        <x:f>SUMIFS('Categorias'!$F$4:$F$1347,'Categorias'!$E$4:$E$1347,B97,'Categorias'!$A$4:$A$1347,E$3)</x:f>
        <x:v>0</x:v>
      </x:c>
      <x:c r="F97" s="28" t="n">
        <x:f>SUMIFS('Categorias'!$F$4:$F$1347,'Categorias'!$E$4:$E$1347,B97,'Categorias'!$A$4:$A$1347,F$3)</x:f>
        <x:v>0</x:v>
      </x:c>
      <x:c r="G97" s="28" t="n">
        <x:f>SUMIFS('Categorias'!$F$4:$F$1347,'Categorias'!$E$4:$E$1347,B97,'Categorias'!$A$4:$A$1347,G$3)</x:f>
        <x:v>0</x:v>
      </x:c>
      <x:c r="H97" s="28" t="n">
        <x:f>SUMIFS('Categorias'!$F$4:$F$1347,'Categorias'!$E$4:$E$1347,B97,'Categorias'!$A$4:$A$1347,H$3)</x:f>
        <x:v>0</x:v>
      </x:c>
      <x:c r="I97" s="28" t="n">
        <x:f>SUMIFS('Categorias'!$F$4:$F$1347,'Categorias'!$E$4:$E$1347,B97,'Categorias'!$A$4:$A$1347,I$3)</x:f>
        <x:v>0</x:v>
      </x:c>
      <x:c r="J97" s="28" t="n">
        <x:f>SUMIFS('Categorias'!$F$4:$F$1347,'Categorias'!$E$4:$E$1347,B97,'Categorias'!$A$4:$A$1347,J$3)</x:f>
        <x:v>0</x:v>
      </x:c>
      <x:c r="K97" s="28" t="n">
        <x:f>SUMIFS('Categorias'!$F$4:$F$1347,'Categorias'!$E$4:$E$1347,B97,'Categorias'!$A$4:$A$1347,K$3)</x:f>
        <x:v>0</x:v>
      </x:c>
      <x:c r="L97" s="28" t="n">
        <x:f>SUMIFS('Categorias'!$F$4:$F$1347,'Categorias'!$E$4:$E$1347,B97,'Categorias'!$A$4:$A$1347,L$3)</x:f>
        <x:v>0</x:v>
      </x:c>
      <x:c r="M97" s="28" t="n">
        <x:f>SUMIFS('Categorias'!$F$4:$F$1347,'Categorias'!$E$4:$E$1347,B97,'Categorias'!$A$4:$A$1347,M$3)</x:f>
        <x:v>0</x:v>
      </x:c>
      <x:c r="N97" s="47" t="n">
        <x:f>SUMIFS('Categorias'!$F$4:$F$1347,'Categorias'!$E$4:$E$1347,B97,'Categorias'!$A$4:$A$1347,N$3)</x:f>
        <x:v>0</x:v>
      </x:c>
    </x:row>
    <x:row r="98">
      <x:c r="A98" s="39" t="n">
        <x:f>RANK.EQ(C98,$C$4:$C$273,0)</x:f>
        <x:v>95</x:v>
      </x:c>
      <x:c r="B98" s="40" t="str">
        <x:v>ChicaoCowboy</x:v>
      </x:c>
      <x:c r="C98" s="28" t="n">
        <x:f>SUMIF('Categorias'!$E$4:$E$1347,B98,'Categorias'!$F$4:$F$1347)</x:f>
        <x:v>470514</x:v>
      </x:c>
      <x:c r="D98" s="28" t="n">
        <x:f>SUMIFS('Categorias'!$F$4:$F$1347,'Categorias'!$E$4:$E$1347,B98,'Categorias'!$A$4:$A$1347,D$3)</x:f>
        <x:v>470514</x:v>
      </x:c>
      <x:c r="E98" s="28" t="n">
        <x:f>SUMIFS('Categorias'!$F$4:$F$1347,'Categorias'!$E$4:$E$1347,B98,'Categorias'!$A$4:$A$1347,E$3)</x:f>
        <x:v>0</x:v>
      </x:c>
      <x:c r="F98" s="28" t="n">
        <x:f>SUMIFS('Categorias'!$F$4:$F$1347,'Categorias'!$E$4:$E$1347,B98,'Categorias'!$A$4:$A$1347,F$3)</x:f>
        <x:v>0</x:v>
      </x:c>
      <x:c r="G98" s="28" t="n">
        <x:f>SUMIFS('Categorias'!$F$4:$F$1347,'Categorias'!$E$4:$E$1347,B98,'Categorias'!$A$4:$A$1347,G$3)</x:f>
        <x:v>0</x:v>
      </x:c>
      <x:c r="H98" s="28" t="n">
        <x:f>SUMIFS('Categorias'!$F$4:$F$1347,'Categorias'!$E$4:$E$1347,B98,'Categorias'!$A$4:$A$1347,H$3)</x:f>
        <x:v>0</x:v>
      </x:c>
      <x:c r="I98" s="28" t="n">
        <x:f>SUMIFS('Categorias'!$F$4:$F$1347,'Categorias'!$E$4:$E$1347,B98,'Categorias'!$A$4:$A$1347,I$3)</x:f>
        <x:v>0</x:v>
      </x:c>
      <x:c r="J98" s="28" t="n">
        <x:f>SUMIFS('Categorias'!$F$4:$F$1347,'Categorias'!$E$4:$E$1347,B98,'Categorias'!$A$4:$A$1347,J$3)</x:f>
        <x:v>0</x:v>
      </x:c>
      <x:c r="K98" s="28" t="n">
        <x:f>SUMIFS('Categorias'!$F$4:$F$1347,'Categorias'!$E$4:$E$1347,B98,'Categorias'!$A$4:$A$1347,K$3)</x:f>
        <x:v>0</x:v>
      </x:c>
      <x:c r="L98" s="28" t="n">
        <x:f>SUMIFS('Categorias'!$F$4:$F$1347,'Categorias'!$E$4:$E$1347,B98,'Categorias'!$A$4:$A$1347,L$3)</x:f>
        <x:v>0</x:v>
      </x:c>
      <x:c r="M98" s="28" t="n">
        <x:f>SUMIFS('Categorias'!$F$4:$F$1347,'Categorias'!$E$4:$E$1347,B98,'Categorias'!$A$4:$A$1347,M$3)</x:f>
        <x:v>0</x:v>
      </x:c>
      <x:c r="N98" s="47" t="n">
        <x:f>SUMIFS('Categorias'!$F$4:$F$1347,'Categorias'!$E$4:$E$1347,B98,'Categorias'!$A$4:$A$1347,N$3)</x:f>
        <x:v>0</x:v>
      </x:c>
    </x:row>
    <x:row r="99">
      <x:c r="A99" s="39" t="n">
        <x:f>RANK.EQ(C99,$C$4:$C$273,0)</x:f>
        <x:v>96</x:v>
      </x:c>
      <x:c r="B99" s="40" t="str">
        <x:v>RullinSKILL</x:v>
      </x:c>
      <x:c r="C99" s="28" t="n">
        <x:f>SUMIF('Categorias'!$E$4:$E$1347,B99,'Categorias'!$F$4:$F$1347)</x:f>
        <x:v>469166</x:v>
      </x:c>
      <x:c r="D99" s="28" t="n">
        <x:f>SUMIFS('Categorias'!$F$4:$F$1347,'Categorias'!$E$4:$E$1347,B99,'Categorias'!$A$4:$A$1347,D$3)</x:f>
        <x:v>342708</x:v>
      </x:c>
      <x:c r="E99" s="28" t="n">
        <x:f>SUMIFS('Categorias'!$F$4:$F$1347,'Categorias'!$E$4:$E$1347,B99,'Categorias'!$A$4:$A$1347,E$3)</x:f>
        <x:v>1260</x:v>
      </x:c>
      <x:c r="F99" s="28" t="n">
        <x:f>SUMIFS('Categorias'!$F$4:$F$1347,'Categorias'!$E$4:$E$1347,B99,'Categorias'!$A$4:$A$1347,F$3)</x:f>
        <x:v>44618</x:v>
      </x:c>
      <x:c r="G99" s="28" t="n">
        <x:f>SUMIFS('Categorias'!$F$4:$F$1347,'Categorias'!$E$4:$E$1347,B99,'Categorias'!$A$4:$A$1347,G$3)</x:f>
        <x:v>32122</x:v>
      </x:c>
      <x:c r="H99" s="28" t="n">
        <x:f>SUMIFS('Categorias'!$F$4:$F$1347,'Categorias'!$E$4:$E$1347,B99,'Categorias'!$A$4:$A$1347,H$3)</x:f>
        <x:v>0</x:v>
      </x:c>
      <x:c r="I99" s="28" t="n">
        <x:f>SUMIFS('Categorias'!$F$4:$F$1347,'Categorias'!$E$4:$E$1347,B99,'Categorias'!$A$4:$A$1347,I$3)</x:f>
        <x:v>59</x:v>
      </x:c>
      <x:c r="J99" s="28" t="n">
        <x:f>SUMIFS('Categorias'!$F$4:$F$1347,'Categorias'!$E$4:$E$1347,B99,'Categorias'!$A$4:$A$1347,J$3)</x:f>
        <x:v>29541</x:v>
      </x:c>
      <x:c r="K99" s="28" t="n">
        <x:f>SUMIFS('Categorias'!$F$4:$F$1347,'Categorias'!$E$4:$E$1347,B99,'Categorias'!$A$4:$A$1347,K$3)</x:f>
        <x:v>0</x:v>
      </x:c>
      <x:c r="L99" s="28" t="n">
        <x:f>SUMIFS('Categorias'!$F$4:$F$1347,'Categorias'!$E$4:$E$1347,B99,'Categorias'!$A$4:$A$1347,L$3)</x:f>
        <x:v>0</x:v>
      </x:c>
      <x:c r="M99" s="28" t="n">
        <x:f>SUMIFS('Categorias'!$F$4:$F$1347,'Categorias'!$E$4:$E$1347,B99,'Categorias'!$A$4:$A$1347,M$3)</x:f>
        <x:v>0</x:v>
      </x:c>
      <x:c r="N99" s="47" t="n">
        <x:f>SUMIFS('Categorias'!$F$4:$F$1347,'Categorias'!$E$4:$E$1347,B99,'Categorias'!$A$4:$A$1347,N$3)</x:f>
        <x:v>0</x:v>
      </x:c>
    </x:row>
    <x:row r="100">
      <x:c r="A100" s="39" t="n">
        <x:f>RANK.EQ(C100,$C$4:$C$273,0)</x:f>
        <x:v>97</x:v>
      </x:c>
      <x:c r="B100" s="40" t="str">
        <x:v>MRBrutu</x:v>
      </x:c>
      <x:c r="C100" s="28" t="n">
        <x:f>SUMIF('Categorias'!$E$4:$E$1347,B100,'Categorias'!$F$4:$F$1347)</x:f>
        <x:v>448802</x:v>
      </x:c>
      <x:c r="D100" s="28" t="n">
        <x:f>SUMIFS('Categorias'!$F$4:$F$1347,'Categorias'!$E$4:$E$1347,B100,'Categorias'!$A$4:$A$1347,D$3)</x:f>
        <x:v>443603</x:v>
      </x:c>
      <x:c r="E100" s="28" t="n">
        <x:f>SUMIFS('Categorias'!$F$4:$F$1347,'Categorias'!$E$4:$E$1347,B100,'Categorias'!$A$4:$A$1347,E$3)</x:f>
        <x:v>1908</x:v>
      </x:c>
      <x:c r="F100" s="28" t="n">
        <x:f>SUMIFS('Categorias'!$F$4:$F$1347,'Categorias'!$E$4:$E$1347,B100,'Categorias'!$A$4:$A$1347,F$3)</x:f>
        <x:v>0</x:v>
      </x:c>
      <x:c r="G100" s="28" t="n">
        <x:f>SUMIFS('Categorias'!$F$4:$F$1347,'Categorias'!$E$4:$E$1347,B100,'Categorias'!$A$4:$A$1347,G$3)</x:f>
        <x:v>0</x:v>
      </x:c>
      <x:c r="H100" s="28" t="n">
        <x:f>SUMIFS('Categorias'!$F$4:$F$1347,'Categorias'!$E$4:$E$1347,B100,'Categorias'!$A$4:$A$1347,H$3)</x:f>
        <x:v>477</x:v>
      </x:c>
      <x:c r="I100" s="28" t="n">
        <x:f>SUMIFS('Categorias'!$F$4:$F$1347,'Categorias'!$E$4:$E$1347,B100,'Categorias'!$A$4:$A$1347,I$3)</x:f>
        <x:v>808</x:v>
      </x:c>
      <x:c r="J100" s="28" t="n">
        <x:f>SUMIFS('Categorias'!$F$4:$F$1347,'Categorias'!$E$4:$E$1347,B100,'Categorias'!$A$4:$A$1347,J$3)</x:f>
        <x:v>438</x:v>
      </x:c>
      <x:c r="K100" s="28" t="n">
        <x:f>SUMIFS('Categorias'!$F$4:$F$1347,'Categorias'!$E$4:$E$1347,B100,'Categorias'!$A$4:$A$1347,K$3)</x:f>
        <x:v>0</x:v>
      </x:c>
      <x:c r="L100" s="28" t="n">
        <x:f>SUMIFS('Categorias'!$F$4:$F$1347,'Categorias'!$E$4:$E$1347,B100,'Categorias'!$A$4:$A$1347,L$3)</x:f>
        <x:v>1568</x:v>
      </x:c>
      <x:c r="M100" s="28" t="n">
        <x:f>SUMIFS('Categorias'!$F$4:$F$1347,'Categorias'!$E$4:$E$1347,B100,'Categorias'!$A$4:$A$1347,M$3)</x:f>
        <x:v>0</x:v>
      </x:c>
      <x:c r="N100" s="47" t="n">
        <x:f>SUMIFS('Categorias'!$F$4:$F$1347,'Categorias'!$E$4:$E$1347,B100,'Categorias'!$A$4:$A$1347,N$3)</x:f>
        <x:v>0</x:v>
      </x:c>
    </x:row>
    <x:row r="101">
      <x:c r="A101" s="39" t="n">
        <x:f>RANK.EQ(C101,$C$4:$C$273,0)</x:f>
        <x:v>98</x:v>
      </x:c>
      <x:c r="B101" s="40" t="str">
        <x:v>Xakalzin</x:v>
      </x:c>
      <x:c r="C101" s="28" t="n">
        <x:f>SUMIF('Categorias'!$E$4:$E$1347,B101,'Categorias'!$F$4:$F$1347)</x:f>
        <x:v>436037</x:v>
      </x:c>
      <x:c r="D101" s="28" t="n">
        <x:f>SUMIFS('Categorias'!$F$4:$F$1347,'Categorias'!$E$4:$E$1347,B101,'Categorias'!$A$4:$A$1347,D$3)</x:f>
        <x:v>322577</x:v>
      </x:c>
      <x:c r="E101" s="28" t="n">
        <x:f>SUMIFS('Categorias'!$F$4:$F$1347,'Categorias'!$E$4:$E$1347,B101,'Categorias'!$A$4:$A$1347,E$3)</x:f>
        <x:v>3752</x:v>
      </x:c>
      <x:c r="F101" s="28" t="n">
        <x:f>SUMIFS('Categorias'!$F$4:$F$1347,'Categorias'!$E$4:$E$1347,B101,'Categorias'!$A$4:$A$1347,F$3)</x:f>
        <x:v>49185</x:v>
      </x:c>
      <x:c r="G101" s="28" t="n">
        <x:f>SUMIFS('Categorias'!$F$4:$F$1347,'Categorias'!$E$4:$E$1347,B101,'Categorias'!$A$4:$A$1347,G$3)</x:f>
        <x:v>10558</x:v>
      </x:c>
      <x:c r="H101" s="28" t="n">
        <x:f>SUMIFS('Categorias'!$F$4:$F$1347,'Categorias'!$E$4:$E$1347,B101,'Categorias'!$A$4:$A$1347,H$3)</x:f>
        <x:v>18068</x:v>
      </x:c>
      <x:c r="I101" s="28" t="n">
        <x:f>SUMIFS('Categorias'!$F$4:$F$1347,'Categorias'!$E$4:$E$1347,B101,'Categorias'!$A$4:$A$1347,I$3)</x:f>
        <x:v>0</x:v>
      </x:c>
      <x:c r="J101" s="28" t="n">
        <x:f>SUMIFS('Categorias'!$F$4:$F$1347,'Categorias'!$E$4:$E$1347,B101,'Categorias'!$A$4:$A$1347,J$3)</x:f>
        <x:v>31897</x:v>
      </x:c>
      <x:c r="K101" s="28" t="n">
        <x:f>SUMIFS('Categorias'!$F$4:$F$1347,'Categorias'!$E$4:$E$1347,B101,'Categorias'!$A$4:$A$1347,K$3)</x:f>
        <x:v>0</x:v>
      </x:c>
      <x:c r="L101" s="28" t="n">
        <x:f>SUMIFS('Categorias'!$F$4:$F$1347,'Categorias'!$E$4:$E$1347,B101,'Categorias'!$A$4:$A$1347,L$3)</x:f>
        <x:v>0</x:v>
      </x:c>
      <x:c r="M101" s="28" t="n">
        <x:f>SUMIFS('Categorias'!$F$4:$F$1347,'Categorias'!$E$4:$E$1347,B101,'Categorias'!$A$4:$A$1347,M$3)</x:f>
        <x:v>0</x:v>
      </x:c>
      <x:c r="N101" s="47" t="n">
        <x:f>SUMIFS('Categorias'!$F$4:$F$1347,'Categorias'!$E$4:$E$1347,B101,'Categorias'!$A$4:$A$1347,N$3)</x:f>
        <x:v>0</x:v>
      </x:c>
    </x:row>
    <x:row r="102">
      <x:c r="A102" s="39" t="n">
        <x:f>RANK.EQ(C102,$C$4:$C$273,0)</x:f>
        <x:v>99</x:v>
      </x:c>
      <x:c r="B102" s="40" t="str">
        <x:v>Hachixi</x:v>
      </x:c>
      <x:c r="C102" s="28" t="n">
        <x:f>SUMIF('Categorias'!$E$4:$E$1347,B102,'Categorias'!$F$4:$F$1347)</x:f>
        <x:v>435418</x:v>
      </x:c>
      <x:c r="D102" s="28" t="n">
        <x:f>SUMIFS('Categorias'!$F$4:$F$1347,'Categorias'!$E$4:$E$1347,B102,'Categorias'!$A$4:$A$1347,D$3)</x:f>
        <x:v>320329</x:v>
      </x:c>
      <x:c r="E102" s="28" t="n">
        <x:f>SUMIFS('Categorias'!$F$4:$F$1347,'Categorias'!$E$4:$E$1347,B102,'Categorias'!$A$4:$A$1347,E$3)</x:f>
        <x:v>71665</x:v>
      </x:c>
      <x:c r="F102" s="28" t="n">
        <x:f>SUMIFS('Categorias'!$F$4:$F$1347,'Categorias'!$E$4:$E$1347,B102,'Categorias'!$A$4:$A$1347,F$3)</x:f>
        <x:v>0</x:v>
      </x:c>
      <x:c r="G102" s="28" t="n">
        <x:f>SUMIFS('Categorias'!$F$4:$F$1347,'Categorias'!$E$4:$E$1347,B102,'Categorias'!$A$4:$A$1347,G$3)</x:f>
        <x:v>7770</x:v>
      </x:c>
      <x:c r="H102" s="28" t="n">
        <x:f>SUMIFS('Categorias'!$F$4:$F$1347,'Categorias'!$E$4:$E$1347,B102,'Categorias'!$A$4:$A$1347,H$3)</x:f>
        <x:v>4905</x:v>
      </x:c>
      <x:c r="I102" s="28" t="n">
        <x:f>SUMIFS('Categorias'!$F$4:$F$1347,'Categorias'!$E$4:$E$1347,B102,'Categorias'!$A$4:$A$1347,I$3)</x:f>
        <x:v>11966</x:v>
      </x:c>
      <x:c r="J102" s="28" t="n">
        <x:f>SUMIFS('Categorias'!$F$4:$F$1347,'Categorias'!$E$4:$E$1347,B102,'Categorias'!$A$4:$A$1347,J$3)</x:f>
        <x:v>18783</x:v>
      </x:c>
      <x:c r="K102" s="28" t="n">
        <x:f>SUMIFS('Categorias'!$F$4:$F$1347,'Categorias'!$E$4:$E$1347,B102,'Categorias'!$A$4:$A$1347,K$3)</x:f>
        <x:v>0</x:v>
      </x:c>
      <x:c r="L102" s="28" t="n">
        <x:f>SUMIFS('Categorias'!$F$4:$F$1347,'Categorias'!$E$4:$E$1347,B102,'Categorias'!$A$4:$A$1347,L$3)</x:f>
        <x:v>0</x:v>
      </x:c>
      <x:c r="M102" s="28" t="n">
        <x:f>SUMIFS('Categorias'!$F$4:$F$1347,'Categorias'!$E$4:$E$1347,B102,'Categorias'!$A$4:$A$1347,M$3)</x:f>
        <x:v>0</x:v>
      </x:c>
      <x:c r="N102" s="47" t="n">
        <x:f>SUMIFS('Categorias'!$F$4:$F$1347,'Categorias'!$E$4:$E$1347,B102,'Categorias'!$A$4:$A$1347,N$3)</x:f>
        <x:v>0</x:v>
      </x:c>
    </x:row>
    <x:row r="103">
      <x:c r="A103" s="39" t="n">
        <x:f>RANK.EQ(C103,$C$4:$C$273,0)</x:f>
        <x:v>100</x:v>
      </x:c>
      <x:c r="B103" s="40" t="str">
        <x:v>Nery</x:v>
      </x:c>
      <x:c r="C103" s="28" t="n">
        <x:f>SUMIF('Categorias'!$E$4:$E$1347,B103,'Categorias'!$F$4:$F$1347)</x:f>
        <x:v>423813</x:v>
      </x:c>
      <x:c r="D103" s="28" t="n">
        <x:f>SUMIFS('Categorias'!$F$4:$F$1347,'Categorias'!$E$4:$E$1347,B103,'Categorias'!$A$4:$A$1347,D$3)</x:f>
        <x:v>423813</x:v>
      </x:c>
      <x:c r="E103" s="28" t="n">
        <x:f>SUMIFS('Categorias'!$F$4:$F$1347,'Categorias'!$E$4:$E$1347,B103,'Categorias'!$A$4:$A$1347,E$3)</x:f>
        <x:v>0</x:v>
      </x:c>
      <x:c r="F103" s="28" t="n">
        <x:f>SUMIFS('Categorias'!$F$4:$F$1347,'Categorias'!$E$4:$E$1347,B103,'Categorias'!$A$4:$A$1347,F$3)</x:f>
        <x:v>0</x:v>
      </x:c>
      <x:c r="G103" s="28" t="n">
        <x:f>SUMIFS('Categorias'!$F$4:$F$1347,'Categorias'!$E$4:$E$1347,B103,'Categorias'!$A$4:$A$1347,G$3)</x:f>
        <x:v>0</x:v>
      </x:c>
      <x:c r="H103" s="28" t="n">
        <x:f>SUMIFS('Categorias'!$F$4:$F$1347,'Categorias'!$E$4:$E$1347,B103,'Categorias'!$A$4:$A$1347,H$3)</x:f>
        <x:v>0</x:v>
      </x:c>
      <x:c r="I103" s="28" t="n">
        <x:f>SUMIFS('Categorias'!$F$4:$F$1347,'Categorias'!$E$4:$E$1347,B103,'Categorias'!$A$4:$A$1347,I$3)</x:f>
        <x:v>0</x:v>
      </x:c>
      <x:c r="J103" s="28" t="n">
        <x:f>SUMIFS('Categorias'!$F$4:$F$1347,'Categorias'!$E$4:$E$1347,B103,'Categorias'!$A$4:$A$1347,J$3)</x:f>
        <x:v>0</x:v>
      </x:c>
      <x:c r="K103" s="28" t="n">
        <x:f>SUMIFS('Categorias'!$F$4:$F$1347,'Categorias'!$E$4:$E$1347,B103,'Categorias'!$A$4:$A$1347,K$3)</x:f>
        <x:v>0</x:v>
      </x:c>
      <x:c r="L103" s="28" t="n">
        <x:f>SUMIFS('Categorias'!$F$4:$F$1347,'Categorias'!$E$4:$E$1347,B103,'Categorias'!$A$4:$A$1347,L$3)</x:f>
        <x:v>0</x:v>
      </x:c>
      <x:c r="M103" s="28" t="n">
        <x:f>SUMIFS('Categorias'!$F$4:$F$1347,'Categorias'!$E$4:$E$1347,B103,'Categorias'!$A$4:$A$1347,M$3)</x:f>
        <x:v>0</x:v>
      </x:c>
      <x:c r="N103" s="47" t="n">
        <x:f>SUMIFS('Categorias'!$F$4:$F$1347,'Categorias'!$E$4:$E$1347,B103,'Categorias'!$A$4:$A$1347,N$3)</x:f>
        <x:v>0</x:v>
      </x:c>
    </x:row>
    <x:row r="104">
      <x:c r="A104" s="39" t="n">
        <x:f>RANK.EQ(C104,$C$4:$C$273,0)</x:f>
        <x:v>101</x:v>
      </x:c>
      <x:c r="B104" s="40" t="str">
        <x:v>SeuDanadoo</x:v>
      </x:c>
      <x:c r="C104" s="28" t="n">
        <x:f>SUMIF('Categorias'!$E$4:$E$1347,B104,'Categorias'!$F$4:$F$1347)</x:f>
        <x:v>420204</x:v>
      </x:c>
      <x:c r="D104" s="28" t="n">
        <x:f>SUMIFS('Categorias'!$F$4:$F$1347,'Categorias'!$E$4:$E$1347,B104,'Categorias'!$A$4:$A$1347,D$3)</x:f>
        <x:v>309534</x:v>
      </x:c>
      <x:c r="E104" s="28" t="n">
        <x:f>SUMIFS('Categorias'!$F$4:$F$1347,'Categorias'!$E$4:$E$1347,B104,'Categorias'!$A$4:$A$1347,E$3)</x:f>
        <x:v>18067</x:v>
      </x:c>
      <x:c r="F104" s="28" t="n">
        <x:f>SUMIFS('Categorias'!$F$4:$F$1347,'Categorias'!$E$4:$E$1347,B104,'Categorias'!$A$4:$A$1347,F$3)</x:f>
        <x:v>13029</x:v>
      </x:c>
      <x:c r="G104" s="28" t="n">
        <x:f>SUMIFS('Categorias'!$F$4:$F$1347,'Categorias'!$E$4:$E$1347,B104,'Categorias'!$A$4:$A$1347,G$3)</x:f>
        <x:v>26310</x:v>
      </x:c>
      <x:c r="H104" s="28" t="n">
        <x:f>SUMIFS('Categorias'!$F$4:$F$1347,'Categorias'!$E$4:$E$1347,B104,'Categorias'!$A$4:$A$1347,H$3)</x:f>
        <x:v>16969</x:v>
      </x:c>
      <x:c r="I104" s="28" t="n">
        <x:f>SUMIFS('Categorias'!$F$4:$F$1347,'Categorias'!$E$4:$E$1347,B104,'Categorias'!$A$4:$A$1347,I$3)</x:f>
        <x:v>14666</x:v>
      </x:c>
      <x:c r="J104" s="28" t="n">
        <x:f>SUMIFS('Categorias'!$F$4:$F$1347,'Categorias'!$E$4:$E$1347,B104,'Categorias'!$A$4:$A$1347,J$3)</x:f>
        <x:v>20280</x:v>
      </x:c>
      <x:c r="K104" s="28" t="n">
        <x:f>SUMIFS('Categorias'!$F$4:$F$1347,'Categorias'!$E$4:$E$1347,B104,'Categorias'!$A$4:$A$1347,K$3)</x:f>
        <x:v>0</x:v>
      </x:c>
      <x:c r="L104" s="28" t="n">
        <x:f>SUMIFS('Categorias'!$F$4:$F$1347,'Categorias'!$E$4:$E$1347,B104,'Categorias'!$A$4:$A$1347,L$3)</x:f>
        <x:v>0</x:v>
      </x:c>
      <x:c r="M104" s="28" t="n">
        <x:f>SUMIFS('Categorias'!$F$4:$F$1347,'Categorias'!$E$4:$E$1347,B104,'Categorias'!$A$4:$A$1347,M$3)</x:f>
        <x:v>0</x:v>
      </x:c>
      <x:c r="N104" s="47" t="n">
        <x:f>SUMIFS('Categorias'!$F$4:$F$1347,'Categorias'!$E$4:$E$1347,B104,'Categorias'!$A$4:$A$1347,N$3)</x:f>
        <x:v>1349</x:v>
      </x:c>
    </x:row>
    <x:row r="105">
      <x:c r="A105" s="39" t="n">
        <x:f>RANK.EQ(C105,$C$4:$C$273,0)</x:f>
        <x:v>102</x:v>
      </x:c>
      <x:c r="B105" s="40" t="str">
        <x:v>zBrunooHD</x:v>
      </x:c>
      <x:c r="C105" s="28" t="n">
        <x:f>SUMIF('Categorias'!$E$4:$E$1347,B105,'Categorias'!$F$4:$F$1347)</x:f>
        <x:v>387796</x:v>
      </x:c>
      <x:c r="D105" s="28" t="n">
        <x:f>SUMIFS('Categorias'!$F$4:$F$1347,'Categorias'!$E$4:$E$1347,B105,'Categorias'!$A$4:$A$1347,D$3)</x:f>
        <x:v>285286</x:v>
      </x:c>
      <x:c r="E105" s="28" t="n">
        <x:f>SUMIFS('Categorias'!$F$4:$F$1347,'Categorias'!$E$4:$E$1347,B105,'Categorias'!$A$4:$A$1347,E$3)</x:f>
        <x:v>6397</x:v>
      </x:c>
      <x:c r="F105" s="28" t="n">
        <x:f>SUMIFS('Categorias'!$F$4:$F$1347,'Categorias'!$E$4:$E$1347,B105,'Categorias'!$A$4:$A$1347,F$3)</x:f>
        <x:v>26683</x:v>
      </x:c>
      <x:c r="G105" s="28" t="n">
        <x:f>SUMIFS('Categorias'!$F$4:$F$1347,'Categorias'!$E$4:$E$1347,B105,'Categorias'!$A$4:$A$1347,G$3)</x:f>
        <x:v>22694</x:v>
      </x:c>
      <x:c r="H105" s="28" t="n">
        <x:f>SUMIFS('Categorias'!$F$4:$F$1347,'Categorias'!$E$4:$E$1347,B105,'Categorias'!$A$4:$A$1347,H$3)</x:f>
        <x:v>20140</x:v>
      </x:c>
      <x:c r="I105" s="28" t="n">
        <x:f>SUMIFS('Categorias'!$F$4:$F$1347,'Categorias'!$E$4:$E$1347,B105,'Categorias'!$A$4:$A$1347,I$3)</x:f>
        <x:v>2625</x:v>
      </x:c>
      <x:c r="J105" s="28" t="n">
        <x:f>SUMIFS('Categorias'!$F$4:$F$1347,'Categorias'!$E$4:$E$1347,B105,'Categorias'!$A$4:$A$1347,J$3)</x:f>
        <x:v>23036</x:v>
      </x:c>
      <x:c r="K105" s="28" t="n">
        <x:f>SUMIFS('Categorias'!$F$4:$F$1347,'Categorias'!$E$4:$E$1347,B105,'Categorias'!$A$4:$A$1347,K$3)</x:f>
        <x:v>0</x:v>
      </x:c>
      <x:c r="L105" s="28" t="n">
        <x:f>SUMIFS('Categorias'!$F$4:$F$1347,'Categorias'!$E$4:$E$1347,B105,'Categorias'!$A$4:$A$1347,L$3)</x:f>
        <x:v>0</x:v>
      </x:c>
      <x:c r="M105" s="28" t="n">
        <x:f>SUMIFS('Categorias'!$F$4:$F$1347,'Categorias'!$E$4:$E$1347,B105,'Categorias'!$A$4:$A$1347,M$3)</x:f>
        <x:v>935</x:v>
      </x:c>
      <x:c r="N105" s="47" t="n">
        <x:f>SUMIFS('Categorias'!$F$4:$F$1347,'Categorias'!$E$4:$E$1347,B105,'Categorias'!$A$4:$A$1347,N$3)</x:f>
        <x:v>0</x:v>
      </x:c>
    </x:row>
    <x:row r="106">
      <x:c r="A106" s="39" t="n">
        <x:f>RANK.EQ(C106,$C$4:$C$273,0)</x:f>
        <x:v>103</x:v>
      </x:c>
      <x:c r="B106" s="40" t="str">
        <x:v>xVenon</x:v>
      </x:c>
      <x:c r="C106" s="28" t="n">
        <x:f>SUMIF('Categorias'!$E$4:$E$1347,B106,'Categorias'!$F$4:$F$1347)</x:f>
        <x:v>378858</x:v>
      </x:c>
      <x:c r="D106" s="28" t="n">
        <x:f>SUMIFS('Categorias'!$F$4:$F$1347,'Categorias'!$E$4:$E$1347,B106,'Categorias'!$A$4:$A$1347,D$3)</x:f>
        <x:v>378714</x:v>
      </x:c>
      <x:c r="E106" s="28" t="n">
        <x:f>SUMIFS('Categorias'!$F$4:$F$1347,'Categorias'!$E$4:$E$1347,B106,'Categorias'!$A$4:$A$1347,E$3)</x:f>
        <x:v>0</x:v>
      </x:c>
      <x:c r="F106" s="28" t="n">
        <x:f>SUMIFS('Categorias'!$F$4:$F$1347,'Categorias'!$E$4:$E$1347,B106,'Categorias'!$A$4:$A$1347,F$3)</x:f>
        <x:v>0</x:v>
      </x:c>
      <x:c r="G106" s="28" t="n">
        <x:f>SUMIFS('Categorias'!$F$4:$F$1347,'Categorias'!$E$4:$E$1347,B106,'Categorias'!$A$4:$A$1347,G$3)</x:f>
        <x:v>0</x:v>
      </x:c>
      <x:c r="H106" s="28" t="n">
        <x:f>SUMIFS('Categorias'!$F$4:$F$1347,'Categorias'!$E$4:$E$1347,B106,'Categorias'!$A$4:$A$1347,H$3)</x:f>
        <x:v>0</x:v>
      </x:c>
      <x:c r="I106" s="28" t="n">
        <x:f>SUMIFS('Categorias'!$F$4:$F$1347,'Categorias'!$E$4:$E$1347,B106,'Categorias'!$A$4:$A$1347,I$3)</x:f>
        <x:v>0</x:v>
      </x:c>
      <x:c r="J106" s="28" t="n">
        <x:f>SUMIFS('Categorias'!$F$4:$F$1347,'Categorias'!$E$4:$E$1347,B106,'Categorias'!$A$4:$A$1347,J$3)</x:f>
        <x:v>0</x:v>
      </x:c>
      <x:c r="K106" s="28" t="n">
        <x:f>SUMIFS('Categorias'!$F$4:$F$1347,'Categorias'!$E$4:$E$1347,B106,'Categorias'!$A$4:$A$1347,K$3)</x:f>
        <x:v>0</x:v>
      </x:c>
      <x:c r="L106" s="28" t="n">
        <x:f>SUMIFS('Categorias'!$F$4:$F$1347,'Categorias'!$E$4:$E$1347,B106,'Categorias'!$A$4:$A$1347,L$3)</x:f>
        <x:v>144</x:v>
      </x:c>
      <x:c r="M106" s="28" t="n">
        <x:f>SUMIFS('Categorias'!$F$4:$F$1347,'Categorias'!$E$4:$E$1347,B106,'Categorias'!$A$4:$A$1347,M$3)</x:f>
        <x:v>0</x:v>
      </x:c>
      <x:c r="N106" s="47" t="n">
        <x:f>SUMIFS('Categorias'!$F$4:$F$1347,'Categorias'!$E$4:$E$1347,B106,'Categorias'!$A$4:$A$1347,N$3)</x:f>
        <x:v>0</x:v>
      </x:c>
    </x:row>
    <x:row r="107">
      <x:c r="A107" s="39" t="n">
        <x:f>RANK.EQ(C107,$C$4:$C$273,0)</x:f>
        <x:v>104</x:v>
      </x:c>
      <x:c r="B107" s="40" t="str">
        <x:v>IPPON</x:v>
      </x:c>
      <x:c r="C107" s="28" t="n">
        <x:f>SUMIF('Categorias'!$E$4:$E$1347,B107,'Categorias'!$F$4:$F$1347)</x:f>
        <x:v>374018</x:v>
      </x:c>
      <x:c r="D107" s="28" t="n">
        <x:f>SUMIFS('Categorias'!$F$4:$F$1347,'Categorias'!$E$4:$E$1347,B107,'Categorias'!$A$4:$A$1347,D$3)</x:f>
        <x:v>307793</x:v>
      </x:c>
      <x:c r="E107" s="28" t="n">
        <x:f>SUMIFS('Categorias'!$F$4:$F$1347,'Categorias'!$E$4:$E$1347,B107,'Categorias'!$A$4:$A$1347,E$3)</x:f>
        <x:v>29687</x:v>
      </x:c>
      <x:c r="F107" s="28" t="n">
        <x:f>SUMIFS('Categorias'!$F$4:$F$1347,'Categorias'!$E$4:$E$1347,B107,'Categorias'!$A$4:$A$1347,F$3)</x:f>
        <x:v>0</x:v>
      </x:c>
      <x:c r="G107" s="28" t="n">
        <x:f>SUMIFS('Categorias'!$F$4:$F$1347,'Categorias'!$E$4:$E$1347,B107,'Categorias'!$A$4:$A$1347,G$3)</x:f>
        <x:v>19005</x:v>
      </x:c>
      <x:c r="H107" s="28" t="n">
        <x:f>SUMIFS('Categorias'!$F$4:$F$1347,'Categorias'!$E$4:$E$1347,B107,'Categorias'!$A$4:$A$1347,H$3)</x:f>
        <x:v>11628</x:v>
      </x:c>
      <x:c r="I107" s="28" t="n">
        <x:f>SUMIFS('Categorias'!$F$4:$F$1347,'Categorias'!$E$4:$E$1347,B107,'Categorias'!$A$4:$A$1347,I$3)</x:f>
        <x:v>1885</x:v>
      </x:c>
      <x:c r="J107" s="28" t="n">
        <x:f>SUMIFS('Categorias'!$F$4:$F$1347,'Categorias'!$E$4:$E$1347,B107,'Categorias'!$A$4:$A$1347,J$3)</x:f>
        <x:v>0</x:v>
      </x:c>
      <x:c r="K107" s="28" t="n">
        <x:f>SUMIFS('Categorias'!$F$4:$F$1347,'Categorias'!$E$4:$E$1347,B107,'Categorias'!$A$4:$A$1347,K$3)</x:f>
        <x:v>4020</x:v>
      </x:c>
      <x:c r="L107" s="28" t="n">
        <x:f>SUMIFS('Categorias'!$F$4:$F$1347,'Categorias'!$E$4:$E$1347,B107,'Categorias'!$A$4:$A$1347,L$3)</x:f>
        <x:v>0</x:v>
      </x:c>
      <x:c r="M107" s="28" t="n">
        <x:f>SUMIFS('Categorias'!$F$4:$F$1347,'Categorias'!$E$4:$E$1347,B107,'Categorias'!$A$4:$A$1347,M$3)</x:f>
        <x:v>0</x:v>
      </x:c>
      <x:c r="N107" s="47" t="n">
        <x:f>SUMIFS('Categorias'!$F$4:$F$1347,'Categorias'!$E$4:$E$1347,B107,'Categorias'!$A$4:$A$1347,N$3)</x:f>
        <x:v>0</x:v>
      </x:c>
    </x:row>
    <x:row r="108">
      <x:c r="A108" s="39" t="n">
        <x:f>RANK.EQ(C108,$C$4:$C$273,0)</x:f>
        <x:v>105</x:v>
      </x:c>
      <x:c r="B108" s="40" t="str">
        <x:v>MissyPT</x:v>
      </x:c>
      <x:c r="C108" s="28" t="n">
        <x:f>SUMIF('Categorias'!$E$4:$E$1347,B108,'Categorias'!$F$4:$F$1347)</x:f>
        <x:v>364458</x:v>
      </x:c>
      <x:c r="D108" s="28" t="n">
        <x:f>SUMIFS('Categorias'!$F$4:$F$1347,'Categorias'!$E$4:$E$1347,B108,'Categorias'!$A$4:$A$1347,D$3)</x:f>
        <x:v>293934</x:v>
      </x:c>
      <x:c r="E108" s="28" t="n">
        <x:f>SUMIFS('Categorias'!$F$4:$F$1347,'Categorias'!$E$4:$E$1347,B108,'Categorias'!$A$4:$A$1347,E$3)</x:f>
        <x:v>24574</x:v>
      </x:c>
      <x:c r="F108" s="28" t="n">
        <x:f>SUMIFS('Categorias'!$F$4:$F$1347,'Categorias'!$E$4:$E$1347,B108,'Categorias'!$A$4:$A$1347,F$3)</x:f>
        <x:v>2917</x:v>
      </x:c>
      <x:c r="G108" s="28" t="n">
        <x:f>SUMIFS('Categorias'!$F$4:$F$1347,'Categorias'!$E$4:$E$1347,B108,'Categorias'!$A$4:$A$1347,G$3)</x:f>
        <x:v>0</x:v>
      </x:c>
      <x:c r="H108" s="28" t="n">
        <x:f>SUMIFS('Categorias'!$F$4:$F$1347,'Categorias'!$E$4:$E$1347,B108,'Categorias'!$A$4:$A$1347,H$3)</x:f>
        <x:v>3339</x:v>
      </x:c>
      <x:c r="I108" s="28" t="n">
        <x:f>SUMIFS('Categorias'!$F$4:$F$1347,'Categorias'!$E$4:$E$1347,B108,'Categorias'!$A$4:$A$1347,I$3)</x:f>
        <x:v>5438</x:v>
      </x:c>
      <x:c r="J108" s="28" t="n">
        <x:f>SUMIFS('Categorias'!$F$4:$F$1347,'Categorias'!$E$4:$E$1347,B108,'Categorias'!$A$4:$A$1347,J$3)</x:f>
        <x:v>34256</x:v>
      </x:c>
      <x:c r="K108" s="28" t="n">
        <x:f>SUMIFS('Categorias'!$F$4:$F$1347,'Categorias'!$E$4:$E$1347,B108,'Categorias'!$A$4:$A$1347,K$3)</x:f>
        <x:v>0</x:v>
      </x:c>
      <x:c r="L108" s="28" t="n">
        <x:f>SUMIFS('Categorias'!$F$4:$F$1347,'Categorias'!$E$4:$E$1347,B108,'Categorias'!$A$4:$A$1347,L$3)</x:f>
        <x:v>0</x:v>
      </x:c>
      <x:c r="M108" s="28" t="n">
        <x:f>SUMIFS('Categorias'!$F$4:$F$1347,'Categorias'!$E$4:$E$1347,B108,'Categorias'!$A$4:$A$1347,M$3)</x:f>
        <x:v>0</x:v>
      </x:c>
      <x:c r="N108" s="47" t="n">
        <x:f>SUMIFS('Categorias'!$F$4:$F$1347,'Categorias'!$E$4:$E$1347,B108,'Categorias'!$A$4:$A$1347,N$3)</x:f>
        <x:v>0</x:v>
      </x:c>
    </x:row>
    <x:row r="109">
      <x:c r="A109" s="39" t="n">
        <x:f>RANK.EQ(C109,$C$4:$C$273,0)</x:f>
        <x:v>106</x:v>
      </x:c>
      <x:c r="B109" s="40" t="str">
        <x:v>NamikazePT</x:v>
      </x:c>
      <x:c r="C109" s="28" t="n">
        <x:f>SUMIF('Categorias'!$E$4:$E$1347,B109,'Categorias'!$F$4:$F$1347)</x:f>
        <x:v>361948</x:v>
      </x:c>
      <x:c r="D109" s="28" t="n">
        <x:f>SUMIFS('Categorias'!$F$4:$F$1347,'Categorias'!$E$4:$E$1347,B109,'Categorias'!$A$4:$A$1347,D$3)</x:f>
        <x:v>293328</x:v>
      </x:c>
      <x:c r="E109" s="28" t="n">
        <x:f>SUMIFS('Categorias'!$F$4:$F$1347,'Categorias'!$E$4:$E$1347,B109,'Categorias'!$A$4:$A$1347,E$3)</x:f>
        <x:v>7587</x:v>
      </x:c>
      <x:c r="F109" s="28" t="n">
        <x:f>SUMIFS('Categorias'!$F$4:$F$1347,'Categorias'!$E$4:$E$1347,B109,'Categorias'!$A$4:$A$1347,F$3)</x:f>
        <x:v>18748</x:v>
      </x:c>
      <x:c r="G109" s="28" t="n">
        <x:f>SUMIFS('Categorias'!$F$4:$F$1347,'Categorias'!$E$4:$E$1347,B109,'Categorias'!$A$4:$A$1347,G$3)</x:f>
        <x:v>8663</x:v>
      </x:c>
      <x:c r="H109" s="28" t="n">
        <x:f>SUMIFS('Categorias'!$F$4:$F$1347,'Categorias'!$E$4:$E$1347,B109,'Categorias'!$A$4:$A$1347,H$3)</x:f>
        <x:v>18227</x:v>
      </x:c>
      <x:c r="I109" s="28" t="n">
        <x:f>SUMIFS('Categorias'!$F$4:$F$1347,'Categorias'!$E$4:$E$1347,B109,'Categorias'!$A$4:$A$1347,I$3)</x:f>
        <x:v>2280</x:v>
      </x:c>
      <x:c r="J109" s="28" t="n">
        <x:f>SUMIFS('Categorias'!$F$4:$F$1347,'Categorias'!$E$4:$E$1347,B109,'Categorias'!$A$4:$A$1347,J$3)</x:f>
        <x:v>5428</x:v>
      </x:c>
      <x:c r="K109" s="28" t="n">
        <x:f>SUMIFS('Categorias'!$F$4:$F$1347,'Categorias'!$E$4:$E$1347,B109,'Categorias'!$A$4:$A$1347,K$3)</x:f>
        <x:v>5194</x:v>
      </x:c>
      <x:c r="L109" s="28" t="n">
        <x:f>SUMIFS('Categorias'!$F$4:$F$1347,'Categorias'!$E$4:$E$1347,B109,'Categorias'!$A$4:$A$1347,L$3)</x:f>
        <x:v>0</x:v>
      </x:c>
      <x:c r="M109" s="28" t="n">
        <x:f>SUMIFS('Categorias'!$F$4:$F$1347,'Categorias'!$E$4:$E$1347,B109,'Categorias'!$A$4:$A$1347,M$3)</x:f>
        <x:v>2493</x:v>
      </x:c>
      <x:c r="N109" s="47" t="n">
        <x:f>SUMIFS('Categorias'!$F$4:$F$1347,'Categorias'!$E$4:$E$1347,B109,'Categorias'!$A$4:$A$1347,N$3)</x:f>
        <x:v>0</x:v>
      </x:c>
    </x:row>
    <x:row r="110">
      <x:c r="A110" s="39" t="n">
        <x:f>RANK.EQ(C110,$C$4:$C$273,0)</x:f>
        <x:v>107</x:v>
      </x:c>
      <x:c r="B110" s="40" t="str">
        <x:v>julszthaone</x:v>
      </x:c>
      <x:c r="C110" s="28" t="n">
        <x:f>SUMIF('Categorias'!$E$4:$E$1347,B110,'Categorias'!$F$4:$F$1347)</x:f>
        <x:v>358279</x:v>
      </x:c>
      <x:c r="D110" s="28" t="n">
        <x:f>SUMIFS('Categorias'!$F$4:$F$1347,'Categorias'!$E$4:$E$1347,B110,'Categorias'!$A$4:$A$1347,D$3)</x:f>
        <x:v>312298</x:v>
      </x:c>
      <x:c r="E110" s="28" t="n">
        <x:f>SUMIFS('Categorias'!$F$4:$F$1347,'Categorias'!$E$4:$E$1347,B110,'Categorias'!$A$4:$A$1347,E$3)</x:f>
        <x:v>28102</x:v>
      </x:c>
      <x:c r="F110" s="28" t="n">
        <x:f>SUMIFS('Categorias'!$F$4:$F$1347,'Categorias'!$E$4:$E$1347,B110,'Categorias'!$A$4:$A$1347,F$3)</x:f>
        <x:v>0</x:v>
      </x:c>
      <x:c r="G110" s="28" t="n">
        <x:f>SUMIFS('Categorias'!$F$4:$F$1347,'Categorias'!$E$4:$E$1347,B110,'Categorias'!$A$4:$A$1347,G$3)</x:f>
        <x:v>0</x:v>
      </x:c>
      <x:c r="H110" s="28" t="n">
        <x:f>SUMIFS('Categorias'!$F$4:$F$1347,'Categorias'!$E$4:$E$1347,B110,'Categorias'!$A$4:$A$1347,H$3)</x:f>
        <x:v>14922</x:v>
      </x:c>
      <x:c r="I110" s="28" t="n">
        <x:f>SUMIFS('Categorias'!$F$4:$F$1347,'Categorias'!$E$4:$E$1347,B110,'Categorias'!$A$4:$A$1347,I$3)</x:f>
        <x:v>2080</x:v>
      </x:c>
      <x:c r="J110" s="28" t="n">
        <x:f>SUMIFS('Categorias'!$F$4:$F$1347,'Categorias'!$E$4:$E$1347,B110,'Categorias'!$A$4:$A$1347,J$3)</x:f>
        <x:v>877</x:v>
      </x:c>
      <x:c r="K110" s="28" t="n">
        <x:f>SUMIFS('Categorias'!$F$4:$F$1347,'Categorias'!$E$4:$E$1347,B110,'Categorias'!$A$4:$A$1347,K$3)</x:f>
        <x:v>0</x:v>
      </x:c>
      <x:c r="L110" s="28" t="n">
        <x:f>SUMIFS('Categorias'!$F$4:$F$1347,'Categorias'!$E$4:$E$1347,B110,'Categorias'!$A$4:$A$1347,L$3)</x:f>
        <x:v>0</x:v>
      </x:c>
      <x:c r="M110" s="28" t="n">
        <x:f>SUMIFS('Categorias'!$F$4:$F$1347,'Categorias'!$E$4:$E$1347,B110,'Categorias'!$A$4:$A$1347,M$3)</x:f>
        <x:v>0</x:v>
      </x:c>
      <x:c r="N110" s="47" t="n">
        <x:f>SUMIFS('Categorias'!$F$4:$F$1347,'Categorias'!$E$4:$E$1347,B110,'Categorias'!$A$4:$A$1347,N$3)</x:f>
        <x:v>0</x:v>
      </x:c>
    </x:row>
    <x:row r="111">
      <x:c r="A111" s="39" t="n">
        <x:f>RANK.EQ(C111,$C$4:$C$273,0)</x:f>
        <x:v>108</x:v>
      </x:c>
      <x:c r="B111" s="40" t="str">
        <x:v>KatarinasemC</x:v>
      </x:c>
      <x:c r="C111" s="28" t="n">
        <x:f>SUMIF('Categorias'!$E$4:$E$1347,B111,'Categorias'!$F$4:$F$1347)</x:f>
        <x:v>352416</x:v>
      </x:c>
      <x:c r="D111" s="28" t="n">
        <x:f>SUMIFS('Categorias'!$F$4:$F$1347,'Categorias'!$E$4:$E$1347,B111,'Categorias'!$A$4:$A$1347,D$3)</x:f>
        <x:v>314238</x:v>
      </x:c>
      <x:c r="E111" s="28" t="n">
        <x:f>SUMIFS('Categorias'!$F$4:$F$1347,'Categorias'!$E$4:$E$1347,B111,'Categorias'!$A$4:$A$1347,E$3)</x:f>
        <x:v>0</x:v>
      </x:c>
      <x:c r="F111" s="28" t="n">
        <x:f>SUMIFS('Categorias'!$F$4:$F$1347,'Categorias'!$E$4:$E$1347,B111,'Categorias'!$A$4:$A$1347,F$3)</x:f>
        <x:v>0</x:v>
      </x:c>
      <x:c r="G111" s="28" t="n">
        <x:f>SUMIFS('Categorias'!$F$4:$F$1347,'Categorias'!$E$4:$E$1347,B111,'Categorias'!$A$4:$A$1347,G$3)</x:f>
        <x:v>0</x:v>
      </x:c>
      <x:c r="H111" s="28" t="n">
        <x:f>SUMIFS('Categorias'!$F$4:$F$1347,'Categorias'!$E$4:$E$1347,B111,'Categorias'!$A$4:$A$1347,H$3)</x:f>
        <x:v>0</x:v>
      </x:c>
      <x:c r="I111" s="28" t="n">
        <x:f>SUMIFS('Categorias'!$F$4:$F$1347,'Categorias'!$E$4:$E$1347,B111,'Categorias'!$A$4:$A$1347,I$3)</x:f>
        <x:v>0</x:v>
      </x:c>
      <x:c r="J111" s="28" t="n">
        <x:f>SUMIFS('Categorias'!$F$4:$F$1347,'Categorias'!$E$4:$E$1347,B111,'Categorias'!$A$4:$A$1347,J$3)</x:f>
        <x:v>0</x:v>
      </x:c>
      <x:c r="K111" s="28" t="n">
        <x:f>SUMIFS('Categorias'!$F$4:$F$1347,'Categorias'!$E$4:$E$1347,B111,'Categorias'!$A$4:$A$1347,K$3)</x:f>
        <x:v>0</x:v>
      </x:c>
      <x:c r="L111" s="28" t="n">
        <x:f>SUMIFS('Categorias'!$F$4:$F$1347,'Categorias'!$E$4:$E$1347,B111,'Categorias'!$A$4:$A$1347,L$3)</x:f>
        <x:v>0</x:v>
      </x:c>
      <x:c r="M111" s="28" t="n">
        <x:f>SUMIFS('Categorias'!$F$4:$F$1347,'Categorias'!$E$4:$E$1347,B111,'Categorias'!$A$4:$A$1347,M$3)</x:f>
        <x:v>0</x:v>
      </x:c>
      <x:c r="N111" s="47" t="n">
        <x:f>SUMIFS('Categorias'!$F$4:$F$1347,'Categorias'!$E$4:$E$1347,B111,'Categorias'!$A$4:$A$1347,N$3)</x:f>
        <x:v>0</x:v>
      </x:c>
    </x:row>
    <x:row r="112">
      <x:c r="A112" s="39" t="n">
        <x:f>RANK.EQ(C112,$C$4:$C$273,0)</x:f>
        <x:v>109</x:v>
      </x:c>
      <x:c r="B112" s="40" t="str">
        <x:v>AnjoThall</x:v>
      </x:c>
      <x:c r="C112" s="28" t="n">
        <x:f>SUMIF('Categorias'!$E$4:$E$1347,B112,'Categorias'!$F$4:$F$1347)</x:f>
        <x:v>330994</x:v>
      </x:c>
      <x:c r="D112" s="28" t="n">
        <x:f>SUMIFS('Categorias'!$F$4:$F$1347,'Categorias'!$E$4:$E$1347,B112,'Categorias'!$A$4:$A$1347,D$3)</x:f>
        <x:v>291105</x:v>
      </x:c>
      <x:c r="E112" s="28" t="n">
        <x:f>SUMIFS('Categorias'!$F$4:$F$1347,'Categorias'!$E$4:$E$1347,B112,'Categorias'!$A$4:$A$1347,E$3)</x:f>
        <x:v>11072</x:v>
      </x:c>
      <x:c r="F112" s="28" t="n">
        <x:f>SUMIFS('Categorias'!$F$4:$F$1347,'Categorias'!$E$4:$E$1347,B112,'Categorias'!$A$4:$A$1347,F$3)</x:f>
        <x:v>0</x:v>
      </x:c>
      <x:c r="G112" s="28" t="n">
        <x:f>SUMIFS('Categorias'!$F$4:$F$1347,'Categorias'!$E$4:$E$1347,B112,'Categorias'!$A$4:$A$1347,G$3)</x:f>
        <x:v>0</x:v>
      </x:c>
      <x:c r="H112" s="28" t="n">
        <x:f>SUMIFS('Categorias'!$F$4:$F$1347,'Categorias'!$E$4:$E$1347,B112,'Categorias'!$A$4:$A$1347,H$3)</x:f>
        <x:v>16209</x:v>
      </x:c>
      <x:c r="I112" s="28" t="n">
        <x:f>SUMIFS('Categorias'!$F$4:$F$1347,'Categorias'!$E$4:$E$1347,B112,'Categorias'!$A$4:$A$1347,I$3)</x:f>
        <x:v>672</x:v>
      </x:c>
      <x:c r="J112" s="28" t="n">
        <x:f>SUMIFS('Categorias'!$F$4:$F$1347,'Categorias'!$E$4:$E$1347,B112,'Categorias'!$A$4:$A$1347,J$3)</x:f>
        <x:v>11936</x:v>
      </x:c>
      <x:c r="K112" s="28" t="n">
        <x:f>SUMIFS('Categorias'!$F$4:$F$1347,'Categorias'!$E$4:$E$1347,B112,'Categorias'!$A$4:$A$1347,K$3)</x:f>
        <x:v>0</x:v>
      </x:c>
      <x:c r="L112" s="28" t="n">
        <x:f>SUMIFS('Categorias'!$F$4:$F$1347,'Categorias'!$E$4:$E$1347,B112,'Categorias'!$A$4:$A$1347,L$3)</x:f>
        <x:v>0</x:v>
      </x:c>
      <x:c r="M112" s="28" t="n">
        <x:f>SUMIFS('Categorias'!$F$4:$F$1347,'Categorias'!$E$4:$E$1347,B112,'Categorias'!$A$4:$A$1347,M$3)</x:f>
        <x:v>0</x:v>
      </x:c>
      <x:c r="N112" s="47" t="n">
        <x:f>SUMIFS('Categorias'!$F$4:$F$1347,'Categorias'!$E$4:$E$1347,B112,'Categorias'!$A$4:$A$1347,N$3)</x:f>
        <x:v>0</x:v>
      </x:c>
    </x:row>
    <x:row r="113">
      <x:c r="A113" s="39" t="n">
        <x:f>RANK.EQ(C113,$C$4:$C$273,0)</x:f>
        <x:v>110</x:v>
      </x:c>
      <x:c r="B113" s="40" t="str">
        <x:v>Pevida</x:v>
      </x:c>
      <x:c r="C113" s="28" t="n">
        <x:f>SUMIF('Categorias'!$E$4:$E$1347,B113,'Categorias'!$F$4:$F$1347)</x:f>
        <x:v>322743</x:v>
      </x:c>
      <x:c r="D113" s="28" t="n">
        <x:f>SUMIFS('Categorias'!$F$4:$F$1347,'Categorias'!$E$4:$E$1347,B113,'Categorias'!$A$4:$A$1347,D$3)</x:f>
        <x:v>320952</x:v>
      </x:c>
      <x:c r="E113" s="28" t="n">
        <x:f>SUMIFS('Categorias'!$F$4:$F$1347,'Categorias'!$E$4:$E$1347,B113,'Categorias'!$A$4:$A$1347,E$3)</x:f>
        <x:v>1258</x:v>
      </x:c>
      <x:c r="F113" s="28" t="n">
        <x:f>SUMIFS('Categorias'!$F$4:$F$1347,'Categorias'!$E$4:$E$1347,B113,'Categorias'!$A$4:$A$1347,F$3)</x:f>
        <x:v>0</x:v>
      </x:c>
      <x:c r="G113" s="28" t="n">
        <x:f>SUMIFS('Categorias'!$F$4:$F$1347,'Categorias'!$E$4:$E$1347,B113,'Categorias'!$A$4:$A$1347,G$3)</x:f>
        <x:v>0</x:v>
      </x:c>
      <x:c r="H113" s="28" t="n">
        <x:f>SUMIFS('Categorias'!$F$4:$F$1347,'Categorias'!$E$4:$E$1347,B113,'Categorias'!$A$4:$A$1347,H$3)</x:f>
        <x:v>0</x:v>
      </x:c>
      <x:c r="I113" s="28" t="n">
        <x:f>SUMIFS('Categorias'!$F$4:$F$1347,'Categorias'!$E$4:$E$1347,B113,'Categorias'!$A$4:$A$1347,I$3)</x:f>
        <x:v>100</x:v>
      </x:c>
      <x:c r="J113" s="28" t="n">
        <x:f>SUMIFS('Categorias'!$F$4:$F$1347,'Categorias'!$E$4:$E$1347,B113,'Categorias'!$A$4:$A$1347,J$3)</x:f>
        <x:v>0</x:v>
      </x:c>
      <x:c r="K113" s="28" t="n">
        <x:f>SUMIFS('Categorias'!$F$4:$F$1347,'Categorias'!$E$4:$E$1347,B113,'Categorias'!$A$4:$A$1347,K$3)</x:f>
        <x:v>433</x:v>
      </x:c>
      <x:c r="L113" s="28" t="n">
        <x:f>SUMIFS('Categorias'!$F$4:$F$1347,'Categorias'!$E$4:$E$1347,B113,'Categorias'!$A$4:$A$1347,L$3)</x:f>
        <x:v>0</x:v>
      </x:c>
      <x:c r="M113" s="28" t="n">
        <x:f>SUMIFS('Categorias'!$F$4:$F$1347,'Categorias'!$E$4:$E$1347,B113,'Categorias'!$A$4:$A$1347,M$3)</x:f>
        <x:v>0</x:v>
      </x:c>
      <x:c r="N113" s="47" t="n">
        <x:f>SUMIFS('Categorias'!$F$4:$F$1347,'Categorias'!$E$4:$E$1347,B113,'Categorias'!$A$4:$A$1347,N$3)</x:f>
        <x:v>0</x:v>
      </x:c>
    </x:row>
    <x:row r="114">
      <x:c r="A114" s="39" t="n">
        <x:f>RANK.EQ(C114,$C$4:$C$273,0)</x:f>
        <x:v>111</x:v>
      </x:c>
      <x:c r="B114" s="40" t="str">
        <x:v>1NightReaperLWY</x:v>
      </x:c>
      <x:c r="C114" s="28" t="n">
        <x:f>SUMIF('Categorias'!$E$4:$E$1347,B114,'Categorias'!$F$4:$F$1347)</x:f>
        <x:v>307162</x:v>
      </x:c>
      <x:c r="D114" s="28" t="n">
        <x:f>SUMIFS('Categorias'!$F$4:$F$1347,'Categorias'!$E$4:$E$1347,B114,'Categorias'!$A$4:$A$1347,D$3)</x:f>
        <x:v>284396</x:v>
      </x:c>
      <x:c r="E114" s="28" t="n">
        <x:f>SUMIFS('Categorias'!$F$4:$F$1347,'Categorias'!$E$4:$E$1347,B114,'Categorias'!$A$4:$A$1347,E$3)</x:f>
        <x:v>11620</x:v>
      </x:c>
      <x:c r="F114" s="28" t="n">
        <x:f>SUMIFS('Categorias'!$F$4:$F$1347,'Categorias'!$E$4:$E$1347,B114,'Categorias'!$A$4:$A$1347,F$3)</x:f>
        <x:v>0</x:v>
      </x:c>
      <x:c r="G114" s="28" t="n">
        <x:f>SUMIFS('Categorias'!$F$4:$F$1347,'Categorias'!$E$4:$E$1347,B114,'Categorias'!$A$4:$A$1347,G$3)</x:f>
        <x:v>0</x:v>
      </x:c>
      <x:c r="H114" s="28" t="n">
        <x:f>SUMIFS('Categorias'!$F$4:$F$1347,'Categorias'!$E$4:$E$1347,B114,'Categorias'!$A$4:$A$1347,H$3)</x:f>
        <x:v>1113</x:v>
      </x:c>
      <x:c r="I114" s="28" t="n">
        <x:f>SUMIFS('Categorias'!$F$4:$F$1347,'Categorias'!$E$4:$E$1347,B114,'Categorias'!$A$4:$A$1347,I$3)</x:f>
        <x:v>2692</x:v>
      </x:c>
      <x:c r="J114" s="28" t="n">
        <x:f>SUMIFS('Categorias'!$F$4:$F$1347,'Categorias'!$E$4:$E$1347,B114,'Categorias'!$A$4:$A$1347,J$3)</x:f>
        <x:v>7341</x:v>
      </x:c>
      <x:c r="K114" s="28" t="n">
        <x:f>SUMIFS('Categorias'!$F$4:$F$1347,'Categorias'!$E$4:$E$1347,B114,'Categorias'!$A$4:$A$1347,K$3)</x:f>
        <x:v>0</x:v>
      </x:c>
      <x:c r="L114" s="28" t="n">
        <x:f>SUMIFS('Categorias'!$F$4:$F$1347,'Categorias'!$E$4:$E$1347,B114,'Categorias'!$A$4:$A$1347,L$3)</x:f>
        <x:v>0</x:v>
      </x:c>
      <x:c r="M114" s="28" t="n">
        <x:f>SUMIFS('Categorias'!$F$4:$F$1347,'Categorias'!$E$4:$E$1347,B114,'Categorias'!$A$4:$A$1347,M$3)</x:f>
        <x:v>0</x:v>
      </x:c>
      <x:c r="N114" s="47" t="n">
        <x:f>SUMIFS('Categorias'!$F$4:$F$1347,'Categorias'!$E$4:$E$1347,B114,'Categorias'!$A$4:$A$1347,N$3)</x:f>
        <x:v>0</x:v>
      </x:c>
    </x:row>
    <x:row r="115">
      <x:c r="A115" s="39" t="n">
        <x:f>RANK.EQ(C115,$C$4:$C$273,0)</x:f>
        <x:v>112</x:v>
      </x:c>
      <x:c r="B115" s="40" t="str">
        <x:v>BrunoAnulino</x:v>
      </x:c>
      <x:c r="C115" s="28" t="n">
        <x:f>SUMIF('Categorias'!$E$4:$E$1347,B115,'Categorias'!$F$4:$F$1347)</x:f>
        <x:v>303378</x:v>
      </x:c>
      <x:c r="D115" s="28" t="n">
        <x:f>SUMIFS('Categorias'!$F$4:$F$1347,'Categorias'!$E$4:$E$1347,B115,'Categorias'!$A$4:$A$1347,D$3)</x:f>
        <x:v>266627</x:v>
      </x:c>
      <x:c r="E115" s="28" t="n">
        <x:f>SUMIFS('Categorias'!$F$4:$F$1347,'Categorias'!$E$4:$E$1347,B115,'Categorias'!$A$4:$A$1347,E$3)</x:f>
        <x:v>2823</x:v>
      </x:c>
      <x:c r="F115" s="28" t="n">
        <x:f>SUMIFS('Categorias'!$F$4:$F$1347,'Categorias'!$E$4:$E$1347,B115,'Categorias'!$A$4:$A$1347,F$3)</x:f>
        <x:v>1008</x:v>
      </x:c>
      <x:c r="G115" s="28" t="n">
        <x:f>SUMIFS('Categorias'!$F$4:$F$1347,'Categorias'!$E$4:$E$1347,B115,'Categorias'!$A$4:$A$1347,G$3)</x:f>
        <x:v>7959</x:v>
      </x:c>
      <x:c r="H115" s="28" t="n">
        <x:f>SUMIFS('Categorias'!$F$4:$F$1347,'Categorias'!$E$4:$E$1347,B115,'Categorias'!$A$4:$A$1347,H$3)</x:f>
        <x:v>9278</x:v>
      </x:c>
      <x:c r="I115" s="28" t="n">
        <x:f>SUMIFS('Categorias'!$F$4:$F$1347,'Categorias'!$E$4:$E$1347,B115,'Categorias'!$A$4:$A$1347,I$3)</x:f>
        <x:v>579</x:v>
      </x:c>
      <x:c r="J115" s="28" t="n">
        <x:f>SUMIFS('Categorias'!$F$4:$F$1347,'Categorias'!$E$4:$E$1347,B115,'Categorias'!$A$4:$A$1347,J$3)</x:f>
        <x:v>15104</x:v>
      </x:c>
      <x:c r="K115" s="28" t="n">
        <x:f>SUMIFS('Categorias'!$F$4:$F$1347,'Categorias'!$E$4:$E$1347,B115,'Categorias'!$A$4:$A$1347,K$3)</x:f>
        <x:v>0</x:v>
      </x:c>
      <x:c r="L115" s="28" t="n">
        <x:f>SUMIFS('Categorias'!$F$4:$F$1347,'Categorias'!$E$4:$E$1347,B115,'Categorias'!$A$4:$A$1347,L$3)</x:f>
        <x:v>0</x:v>
      </x:c>
      <x:c r="M115" s="28" t="n">
        <x:f>SUMIFS('Categorias'!$F$4:$F$1347,'Categorias'!$E$4:$E$1347,B115,'Categorias'!$A$4:$A$1347,M$3)</x:f>
        <x:v>0</x:v>
      </x:c>
      <x:c r="N115" s="47" t="n">
        <x:f>SUMIFS('Categorias'!$F$4:$F$1347,'Categorias'!$E$4:$E$1347,B115,'Categorias'!$A$4:$A$1347,N$3)</x:f>
        <x:v>0</x:v>
      </x:c>
    </x:row>
    <x:row r="116">
      <x:c r="A116" s="39" t="n">
        <x:f>RANK.EQ(C116,$C$4:$C$273,0)</x:f>
        <x:v>113</x:v>
      </x:c>
      <x:c r="B116" s="40" t="str">
        <x:v>Tuga95</x:v>
      </x:c>
      <x:c r="C116" s="28" t="n">
        <x:f>SUMIF('Categorias'!$E$4:$E$1347,B116,'Categorias'!$F$4:$F$1347)</x:f>
        <x:v>303201</x:v>
      </x:c>
      <x:c r="D116" s="28" t="n">
        <x:f>SUMIFS('Categorias'!$F$4:$F$1347,'Categorias'!$E$4:$E$1347,B116,'Categorias'!$A$4:$A$1347,D$3)</x:f>
        <x:v>268764</x:v>
      </x:c>
      <x:c r="E116" s="28" t="n">
        <x:f>SUMIFS('Categorias'!$F$4:$F$1347,'Categorias'!$E$4:$E$1347,B116,'Categorias'!$A$4:$A$1347,E$3)</x:f>
        <x:v>14381</x:v>
      </x:c>
      <x:c r="F116" s="28" t="n">
        <x:f>SUMIFS('Categorias'!$F$4:$F$1347,'Categorias'!$E$4:$E$1347,B116,'Categorias'!$A$4:$A$1347,F$3)</x:f>
        <x:v>4973</x:v>
      </x:c>
      <x:c r="G116" s="28" t="n">
        <x:f>SUMIFS('Categorias'!$F$4:$F$1347,'Categorias'!$E$4:$E$1347,B116,'Categorias'!$A$4:$A$1347,G$3)</x:f>
        <x:v>0</x:v>
      </x:c>
      <x:c r="H116" s="28" t="n">
        <x:f>SUMIFS('Categorias'!$F$4:$F$1347,'Categorias'!$E$4:$E$1347,B116,'Categorias'!$A$4:$A$1347,H$3)</x:f>
        <x:v>11688</x:v>
      </x:c>
      <x:c r="I116" s="28" t="n">
        <x:f>SUMIFS('Categorias'!$F$4:$F$1347,'Categorias'!$E$4:$E$1347,B116,'Categorias'!$A$4:$A$1347,I$3)</x:f>
        <x:v>765</x:v>
      </x:c>
      <x:c r="J116" s="28" t="n">
        <x:f>SUMIFS('Categorias'!$F$4:$F$1347,'Categorias'!$E$4:$E$1347,B116,'Categorias'!$A$4:$A$1347,J$3)</x:f>
        <x:v>2630</x:v>
      </x:c>
      <x:c r="K116" s="28" t="n">
        <x:f>SUMIFS('Categorias'!$F$4:$F$1347,'Categorias'!$E$4:$E$1347,B116,'Categorias'!$A$4:$A$1347,K$3)</x:f>
        <x:v>0</x:v>
      </x:c>
      <x:c r="L116" s="28" t="n">
        <x:f>SUMIFS('Categorias'!$F$4:$F$1347,'Categorias'!$E$4:$E$1347,B116,'Categorias'!$A$4:$A$1347,L$3)</x:f>
        <x:v>0</x:v>
      </x:c>
      <x:c r="M116" s="28" t="n">
        <x:f>SUMIFS('Categorias'!$F$4:$F$1347,'Categorias'!$E$4:$E$1347,B116,'Categorias'!$A$4:$A$1347,M$3)</x:f>
        <x:v>0</x:v>
      </x:c>
      <x:c r="N116" s="47" t="n">
        <x:f>SUMIFS('Categorias'!$F$4:$F$1347,'Categorias'!$E$4:$E$1347,B116,'Categorias'!$A$4:$A$1347,N$3)</x:f>
        <x:v>0</x:v>
      </x:c>
    </x:row>
    <x:row r="117">
      <x:c r="A117" s="39" t="n">
        <x:f>RANK.EQ(C117,$C$4:$C$273,0)</x:f>
        <x:v>114</x:v>
      </x:c>
      <x:c r="B117" s="40" t="str">
        <x:v>Jarjarjeanbon</x:v>
      </x:c>
      <x:c r="C117" s="28" t="n">
        <x:f>SUMIF('Categorias'!$E$4:$E$1347,B117,'Categorias'!$F$4:$F$1347)</x:f>
        <x:v>295645</x:v>
      </x:c>
      <x:c r="D117" s="28" t="n">
        <x:f>SUMIFS('Categorias'!$F$4:$F$1347,'Categorias'!$E$4:$E$1347,B117,'Categorias'!$A$4:$A$1347,D$3)</x:f>
        <x:v>209783</x:v>
      </x:c>
      <x:c r="E117" s="28" t="n">
        <x:f>SUMIFS('Categorias'!$F$4:$F$1347,'Categorias'!$E$4:$E$1347,B117,'Categorias'!$A$4:$A$1347,E$3)</x:f>
        <x:v>12614</x:v>
      </x:c>
      <x:c r="F117" s="28" t="n">
        <x:f>SUMIFS('Categorias'!$F$4:$F$1347,'Categorias'!$E$4:$E$1347,B117,'Categorias'!$A$4:$A$1347,F$3)</x:f>
        <x:v>12374</x:v>
      </x:c>
      <x:c r="G117" s="28" t="n">
        <x:f>SUMIFS('Categorias'!$F$4:$F$1347,'Categorias'!$E$4:$E$1347,B117,'Categorias'!$A$4:$A$1347,G$3)</x:f>
        <x:v>7391</x:v>
      </x:c>
      <x:c r="H117" s="28" t="n">
        <x:f>SUMIFS('Categorias'!$F$4:$F$1347,'Categorias'!$E$4:$E$1347,B117,'Categorias'!$A$4:$A$1347,H$3)</x:f>
        <x:v>5082</x:v>
      </x:c>
      <x:c r="I117" s="28" t="n">
        <x:f>SUMIFS('Categorias'!$F$4:$F$1347,'Categorias'!$E$4:$E$1347,B117,'Categorias'!$A$4:$A$1347,I$3)</x:f>
        <x:v>0</x:v>
      </x:c>
      <x:c r="J117" s="28" t="n">
        <x:f>SUMIFS('Categorias'!$F$4:$F$1347,'Categorias'!$E$4:$E$1347,B117,'Categorias'!$A$4:$A$1347,J$3)</x:f>
        <x:v>0</x:v>
      </x:c>
      <x:c r="K117" s="28" t="n">
        <x:f>SUMIFS('Categorias'!$F$4:$F$1347,'Categorias'!$E$4:$E$1347,B117,'Categorias'!$A$4:$A$1347,K$3)</x:f>
        <x:v>0</x:v>
      </x:c>
      <x:c r="L117" s="28" t="n">
        <x:f>SUMIFS('Categorias'!$F$4:$F$1347,'Categorias'!$E$4:$E$1347,B117,'Categorias'!$A$4:$A$1347,L$3)</x:f>
        <x:v>0</x:v>
      </x:c>
      <x:c r="M117" s="28" t="n">
        <x:f>SUMIFS('Categorias'!$F$4:$F$1347,'Categorias'!$E$4:$E$1347,B117,'Categorias'!$A$4:$A$1347,M$3)</x:f>
        <x:v>0</x:v>
      </x:c>
      <x:c r="N117" s="47" t="n">
        <x:f>SUMIFS('Categorias'!$F$4:$F$1347,'Categorias'!$E$4:$E$1347,B117,'Categorias'!$A$4:$A$1347,N$3)</x:f>
        <x:v>0</x:v>
      </x:c>
    </x:row>
    <x:row r="118">
      <x:c r="A118" s="39" t="n">
        <x:f>RANK.EQ(C118,$C$4:$C$273,0)</x:f>
        <x:v>115</x:v>
      </x:c>
      <x:c r="B118" s="40" t="str">
        <x:v>EBMonarca</x:v>
      </x:c>
      <x:c r="C118" s="28" t="n">
        <x:f>SUMIF('Categorias'!$E$4:$E$1347,B118,'Categorias'!$F$4:$F$1347)</x:f>
        <x:v>275846</x:v>
      </x:c>
      <x:c r="D118" s="28" t="n">
        <x:f>SUMIFS('Categorias'!$F$4:$F$1347,'Categorias'!$E$4:$E$1347,B118,'Categorias'!$A$4:$A$1347,D$3)</x:f>
        <x:v>245239</x:v>
      </x:c>
      <x:c r="E118" s="28" t="n">
        <x:f>SUMIFS('Categorias'!$F$4:$F$1347,'Categorias'!$E$4:$E$1347,B118,'Categorias'!$A$4:$A$1347,E$3)</x:f>
        <x:v>11363</x:v>
      </x:c>
      <x:c r="F118" s="28" t="n">
        <x:f>SUMIFS('Categorias'!$F$4:$F$1347,'Categorias'!$E$4:$E$1347,B118,'Categorias'!$A$4:$A$1347,F$3)</x:f>
        <x:v>8413</x:v>
      </x:c>
      <x:c r="G118" s="28" t="n">
        <x:f>SUMIFS('Categorias'!$F$4:$F$1347,'Categorias'!$E$4:$E$1347,B118,'Categorias'!$A$4:$A$1347,G$3)</x:f>
        <x:v>0</x:v>
      </x:c>
      <x:c r="H118" s="28" t="n">
        <x:f>SUMIFS('Categorias'!$F$4:$F$1347,'Categorias'!$E$4:$E$1347,B118,'Categorias'!$A$4:$A$1347,H$3)</x:f>
        <x:v>7871</x:v>
      </x:c>
      <x:c r="I118" s="28" t="n">
        <x:f>SUMIFS('Categorias'!$F$4:$F$1347,'Categorias'!$E$4:$E$1347,B118,'Categorias'!$A$4:$A$1347,I$3)</x:f>
        <x:v>36</x:v>
      </x:c>
      <x:c r="J118" s="28" t="n">
        <x:f>SUMIFS('Categorias'!$F$4:$F$1347,'Categorias'!$E$4:$E$1347,B118,'Categorias'!$A$4:$A$1347,J$3)</x:f>
        <x:v>2924</x:v>
      </x:c>
      <x:c r="K118" s="28" t="n">
        <x:f>SUMIFS('Categorias'!$F$4:$F$1347,'Categorias'!$E$4:$E$1347,B118,'Categorias'!$A$4:$A$1347,K$3)</x:f>
        <x:v>0</x:v>
      </x:c>
      <x:c r="L118" s="28" t="n">
        <x:f>SUMIFS('Categorias'!$F$4:$F$1347,'Categorias'!$E$4:$E$1347,B118,'Categorias'!$A$4:$A$1347,L$3)</x:f>
        <x:v>0</x:v>
      </x:c>
      <x:c r="M118" s="28" t="n">
        <x:f>SUMIFS('Categorias'!$F$4:$F$1347,'Categorias'!$E$4:$E$1347,B118,'Categorias'!$A$4:$A$1347,M$3)</x:f>
        <x:v>0</x:v>
      </x:c>
      <x:c r="N118" s="47" t="n">
        <x:f>SUMIFS('Categorias'!$F$4:$F$1347,'Categorias'!$E$4:$E$1347,B118,'Categorias'!$A$4:$A$1347,N$3)</x:f>
        <x:v>0</x:v>
      </x:c>
    </x:row>
    <x:row r="119">
      <x:c r="A119" s="39" t="n">
        <x:f>RANK.EQ(C119,$C$4:$C$273,0)</x:f>
        <x:v>116</x:v>
      </x:c>
      <x:c r="B119" s="40" t="str">
        <x:v>RodriRowanShade</x:v>
      </x:c>
      <x:c r="C119" s="28" t="n">
        <x:f>SUMIF('Categorias'!$E$4:$E$1347,B119,'Categorias'!$F$4:$F$1347)</x:f>
        <x:v>265404</x:v>
      </x:c>
      <x:c r="D119" s="28" t="n">
        <x:f>SUMIFS('Categorias'!$F$4:$F$1347,'Categorias'!$E$4:$E$1347,B119,'Categorias'!$A$4:$A$1347,D$3)</x:f>
        <x:v>246005</x:v>
      </x:c>
      <x:c r="E119" s="28" t="n">
        <x:f>SUMIFS('Categorias'!$F$4:$F$1347,'Categorias'!$E$4:$E$1347,B119,'Categorias'!$A$4:$A$1347,E$3)</x:f>
        <x:v>3098</x:v>
      </x:c>
      <x:c r="F119" s="28" t="n">
        <x:f>SUMIFS('Categorias'!$F$4:$F$1347,'Categorias'!$E$4:$E$1347,B119,'Categorias'!$A$4:$A$1347,F$3)</x:f>
        <x:v>0</x:v>
      </x:c>
      <x:c r="G119" s="28" t="n">
        <x:f>SUMIFS('Categorias'!$F$4:$F$1347,'Categorias'!$E$4:$E$1347,B119,'Categorias'!$A$4:$A$1347,G$3)</x:f>
        <x:v>0</x:v>
      </x:c>
      <x:c r="H119" s="28" t="n">
        <x:f>SUMIFS('Categorias'!$F$4:$F$1347,'Categorias'!$E$4:$E$1347,B119,'Categorias'!$A$4:$A$1347,H$3)</x:f>
        <x:v>2256</x:v>
      </x:c>
      <x:c r="I119" s="28" t="n">
        <x:f>SUMIFS('Categorias'!$F$4:$F$1347,'Categorias'!$E$4:$E$1347,B119,'Categorias'!$A$4:$A$1347,I$3)</x:f>
        <x:v>809</x:v>
      </x:c>
      <x:c r="J119" s="28" t="n">
        <x:f>SUMIFS('Categorias'!$F$4:$F$1347,'Categorias'!$E$4:$E$1347,B119,'Categorias'!$A$4:$A$1347,J$3)</x:f>
        <x:v>13236</x:v>
      </x:c>
      <x:c r="K119" s="28" t="n">
        <x:f>SUMIFS('Categorias'!$F$4:$F$1347,'Categorias'!$E$4:$E$1347,B119,'Categorias'!$A$4:$A$1347,K$3)</x:f>
        <x:v>0</x:v>
      </x:c>
      <x:c r="L119" s="28" t="n">
        <x:f>SUMIFS('Categorias'!$F$4:$F$1347,'Categorias'!$E$4:$E$1347,B119,'Categorias'!$A$4:$A$1347,L$3)</x:f>
        <x:v>0</x:v>
      </x:c>
      <x:c r="M119" s="28" t="n">
        <x:f>SUMIFS('Categorias'!$F$4:$F$1347,'Categorias'!$E$4:$E$1347,B119,'Categorias'!$A$4:$A$1347,M$3)</x:f>
        <x:v>0</x:v>
      </x:c>
      <x:c r="N119" s="47" t="n">
        <x:f>SUMIFS('Categorias'!$F$4:$F$1347,'Categorias'!$E$4:$E$1347,B119,'Categorias'!$A$4:$A$1347,N$3)</x:f>
        <x:v>0</x:v>
      </x:c>
    </x:row>
    <x:row r="120">
      <x:c r="A120" s="39" t="n">
        <x:f>RANK.EQ(C120,$C$4:$C$273,0)</x:f>
        <x:v>117</x:v>
      </x:c>
      <x:c r="B120" s="40" t="str">
        <x:v>MaCiRoSKi</x:v>
      </x:c>
      <x:c r="C120" s="28" t="n">
        <x:f>SUMIF('Categorias'!$E$4:$E$1347,B120,'Categorias'!$F$4:$F$1347)</x:f>
        <x:v>259399</x:v>
      </x:c>
      <x:c r="D120" s="28" t="n">
        <x:f>SUMIFS('Categorias'!$F$4:$F$1347,'Categorias'!$E$4:$E$1347,B120,'Categorias'!$A$4:$A$1347,D$3)</x:f>
        <x:v>246407</x:v>
      </x:c>
      <x:c r="E120" s="28" t="n">
        <x:f>SUMIFS('Categorias'!$F$4:$F$1347,'Categorias'!$E$4:$E$1347,B120,'Categorias'!$A$4:$A$1347,E$3)</x:f>
        <x:v>2821</x:v>
      </x:c>
      <x:c r="F120" s="28" t="n">
        <x:f>SUMIFS('Categorias'!$F$4:$F$1347,'Categorias'!$E$4:$E$1347,B120,'Categorias'!$A$4:$A$1347,F$3)</x:f>
        <x:v>0</x:v>
      </x:c>
      <x:c r="G120" s="28" t="n">
        <x:f>SUMIFS('Categorias'!$F$4:$F$1347,'Categorias'!$E$4:$E$1347,B120,'Categorias'!$A$4:$A$1347,G$3)</x:f>
        <x:v>6159</x:v>
      </x:c>
      <x:c r="H120" s="28" t="n">
        <x:f>SUMIFS('Categorias'!$F$4:$F$1347,'Categorias'!$E$4:$E$1347,B120,'Categorias'!$A$4:$A$1347,H$3)</x:f>
        <x:v>2746</x:v>
      </x:c>
      <x:c r="I120" s="28" t="n">
        <x:f>SUMIFS('Categorias'!$F$4:$F$1347,'Categorias'!$E$4:$E$1347,B120,'Categorias'!$A$4:$A$1347,I$3)</x:f>
        <x:v>535</x:v>
      </x:c>
      <x:c r="J120" s="28" t="n">
        <x:f>SUMIFS('Categorias'!$F$4:$F$1347,'Categorias'!$E$4:$E$1347,B120,'Categorias'!$A$4:$A$1347,J$3)</x:f>
        <x:v>731</x:v>
      </x:c>
      <x:c r="K120" s="28" t="n">
        <x:f>SUMIFS('Categorias'!$F$4:$F$1347,'Categorias'!$E$4:$E$1347,B120,'Categorias'!$A$4:$A$1347,K$3)</x:f>
        <x:v>0</x:v>
      </x:c>
      <x:c r="L120" s="28" t="n">
        <x:f>SUMIFS('Categorias'!$F$4:$F$1347,'Categorias'!$E$4:$E$1347,B120,'Categorias'!$A$4:$A$1347,L$3)</x:f>
        <x:v>0</x:v>
      </x:c>
      <x:c r="M120" s="28" t="n">
        <x:f>SUMIFS('Categorias'!$F$4:$F$1347,'Categorias'!$E$4:$E$1347,B120,'Categorias'!$A$4:$A$1347,M$3)</x:f>
        <x:v>0</x:v>
      </x:c>
      <x:c r="N120" s="47" t="n">
        <x:f>SUMIFS('Categorias'!$F$4:$F$1347,'Categorias'!$E$4:$E$1347,B120,'Categorias'!$A$4:$A$1347,N$3)</x:f>
        <x:v>0</x:v>
      </x:c>
    </x:row>
    <x:row r="121">
      <x:c r="A121" s="39" t="n">
        <x:f>RANK.EQ(C121,$C$4:$C$273,0)</x:f>
        <x:v>118</x:v>
      </x:c>
      <x:c r="B121" s="40" t="str">
        <x:v>Warm4m</x:v>
      </x:c>
      <x:c r="C121" s="28" t="n">
        <x:f>SUMIF('Categorias'!$E$4:$E$1347,B121,'Categorias'!$F$4:$F$1347)</x:f>
        <x:v>251810</x:v>
      </x:c>
      <x:c r="D121" s="28" t="n">
        <x:f>SUMIFS('Categorias'!$F$4:$F$1347,'Categorias'!$E$4:$E$1347,B121,'Categorias'!$A$4:$A$1347,D$3)</x:f>
        <x:v>226289</x:v>
      </x:c>
      <x:c r="E121" s="28" t="n">
        <x:f>SUMIFS('Categorias'!$F$4:$F$1347,'Categorias'!$E$4:$E$1347,B121,'Categorias'!$A$4:$A$1347,E$3)</x:f>
        <x:v>14237</x:v>
      </x:c>
      <x:c r="F121" s="28" t="n">
        <x:f>SUMIFS('Categorias'!$F$4:$F$1347,'Categorias'!$E$4:$E$1347,B121,'Categorias'!$A$4:$A$1347,F$3)</x:f>
        <x:v>2956</x:v>
      </x:c>
      <x:c r="G121" s="28" t="n">
        <x:f>SUMIFS('Categorias'!$F$4:$F$1347,'Categorias'!$E$4:$E$1347,B121,'Categorias'!$A$4:$A$1347,G$3)</x:f>
        <x:v>0</x:v>
      </x:c>
      <x:c r="H121" s="28" t="n">
        <x:f>SUMIFS('Categorias'!$F$4:$F$1347,'Categorias'!$E$4:$E$1347,B121,'Categorias'!$A$4:$A$1347,H$3)</x:f>
        <x:v>7460</x:v>
      </x:c>
      <x:c r="I121" s="28" t="n">
        <x:f>SUMIFS('Categorias'!$F$4:$F$1347,'Categorias'!$E$4:$E$1347,B121,'Categorias'!$A$4:$A$1347,I$3)</x:f>
        <x:v>601</x:v>
      </x:c>
      <x:c r="J121" s="28" t="n">
        <x:f>SUMIFS('Categorias'!$F$4:$F$1347,'Categorias'!$E$4:$E$1347,B121,'Categorias'!$A$4:$A$1347,J$3)</x:f>
        <x:v>267</x:v>
      </x:c>
      <x:c r="K121" s="28" t="n">
        <x:f>SUMIFS('Categorias'!$F$4:$F$1347,'Categorias'!$E$4:$E$1347,B121,'Categorias'!$A$4:$A$1347,K$3)</x:f>
        <x:v>0</x:v>
      </x:c>
      <x:c r="L121" s="28" t="n">
        <x:f>SUMIFS('Categorias'!$F$4:$F$1347,'Categorias'!$E$4:$E$1347,B121,'Categorias'!$A$4:$A$1347,L$3)</x:f>
        <x:v>0</x:v>
      </x:c>
      <x:c r="M121" s="28" t="n">
        <x:f>SUMIFS('Categorias'!$F$4:$F$1347,'Categorias'!$E$4:$E$1347,B121,'Categorias'!$A$4:$A$1347,M$3)</x:f>
        <x:v>0</x:v>
      </x:c>
      <x:c r="N121" s="47" t="n">
        <x:f>SUMIFS('Categorias'!$F$4:$F$1347,'Categorias'!$E$4:$E$1347,B121,'Categorias'!$A$4:$A$1347,N$3)</x:f>
        <x:v>0</x:v>
      </x:c>
    </x:row>
    <x:row r="122">
      <x:c r="A122" s="39" t="n">
        <x:f>RANK.EQ(C122,$C$4:$C$273,0)</x:f>
        <x:v>119</x:v>
      </x:c>
      <x:c r="B122" s="40" t="str">
        <x:v>teessa</x:v>
      </x:c>
      <x:c r="C122" s="28" t="n">
        <x:f>SUMIF('Categorias'!$E$4:$E$1347,B122,'Categorias'!$F$4:$F$1347)</x:f>
        <x:v>247744</x:v>
      </x:c>
      <x:c r="D122" s="28" t="n">
        <x:f>SUMIFS('Categorias'!$F$4:$F$1347,'Categorias'!$E$4:$E$1347,B122,'Categorias'!$A$4:$A$1347,D$3)</x:f>
        <x:v>176526</x:v>
      </x:c>
      <x:c r="E122" s="28" t="n">
        <x:f>SUMIFS('Categorias'!$F$4:$F$1347,'Categorias'!$E$4:$E$1347,B122,'Categorias'!$A$4:$A$1347,E$3)</x:f>
        <x:v>25427</x:v>
      </x:c>
      <x:c r="F122" s="28" t="n">
        <x:f>SUMIFS('Categorias'!$F$4:$F$1347,'Categorias'!$E$4:$E$1347,B122,'Categorias'!$A$4:$A$1347,F$3)</x:f>
        <x:v>1944</x:v>
      </x:c>
      <x:c r="G122" s="28" t="n">
        <x:f>SUMIFS('Categorias'!$F$4:$F$1347,'Categorias'!$E$4:$E$1347,B122,'Categorias'!$A$4:$A$1347,G$3)</x:f>
        <x:v>5685</x:v>
      </x:c>
      <x:c r="H122" s="28" t="n">
        <x:f>SUMIFS('Categorias'!$F$4:$F$1347,'Categorias'!$E$4:$E$1347,B122,'Categorias'!$A$4:$A$1347,H$3)</x:f>
        <x:v>1950</x:v>
      </x:c>
      <x:c r="I122" s="28" t="n">
        <x:f>SUMIFS('Categorias'!$F$4:$F$1347,'Categorias'!$E$4:$E$1347,B122,'Categorias'!$A$4:$A$1347,I$3)</x:f>
        <x:v>5890</x:v>
      </x:c>
      <x:c r="J122" s="28" t="n">
        <x:f>SUMIFS('Categorias'!$F$4:$F$1347,'Categorias'!$E$4:$E$1347,B122,'Categorias'!$A$4:$A$1347,J$3)</x:f>
        <x:v>27117</x:v>
      </x:c>
      <x:c r="K122" s="28" t="n">
        <x:f>SUMIFS('Categorias'!$F$4:$F$1347,'Categorias'!$E$4:$E$1347,B122,'Categorias'!$A$4:$A$1347,K$3)</x:f>
        <x:v>0</x:v>
      </x:c>
      <x:c r="L122" s="28" t="n">
        <x:f>SUMIFS('Categorias'!$F$4:$F$1347,'Categorias'!$E$4:$E$1347,B122,'Categorias'!$A$4:$A$1347,L$3)</x:f>
        <x:v>0</x:v>
      </x:c>
      <x:c r="M122" s="28" t="n">
        <x:f>SUMIFS('Categorias'!$F$4:$F$1347,'Categorias'!$E$4:$E$1347,B122,'Categorias'!$A$4:$A$1347,M$3)</x:f>
        <x:v>0</x:v>
      </x:c>
      <x:c r="N122" s="47" t="n">
        <x:f>SUMIFS('Categorias'!$F$4:$F$1347,'Categorias'!$E$4:$E$1347,B122,'Categorias'!$A$4:$A$1347,N$3)</x:f>
        <x:v>3205</x:v>
      </x:c>
    </x:row>
    <x:row r="123">
      <x:c r="A123" s="39" t="n">
        <x:f>RANK.EQ(C123,$C$4:$C$273,0)</x:f>
        <x:v>120</x:v>
      </x:c>
      <x:c r="B123" s="40" t="str">
        <x:v>Merus</x:v>
      </x:c>
      <x:c r="C123" s="28" t="n">
        <x:f>SUMIF('Categorias'!$E$4:$E$1347,B123,'Categorias'!$F$4:$F$1347)</x:f>
        <x:v>246744</x:v>
      </x:c>
      <x:c r="D123" s="28" t="n">
        <x:f>SUMIFS('Categorias'!$F$4:$F$1347,'Categorias'!$E$4:$E$1347,B123,'Categorias'!$A$4:$A$1347,D$3)</x:f>
        <x:v>206746</x:v>
      </x:c>
      <x:c r="E123" s="28" t="n">
        <x:f>SUMIFS('Categorias'!$F$4:$F$1347,'Categorias'!$E$4:$E$1347,B123,'Categorias'!$A$4:$A$1347,E$3)</x:f>
        <x:v>4476</x:v>
      </x:c>
      <x:c r="F123" s="28" t="n">
        <x:f>SUMIFS('Categorias'!$F$4:$F$1347,'Categorias'!$E$4:$E$1347,B123,'Categorias'!$A$4:$A$1347,F$3)</x:f>
        <x:v>24992</x:v>
      </x:c>
      <x:c r="G123" s="28" t="n">
        <x:f>SUMIFS('Categorias'!$F$4:$F$1347,'Categorias'!$E$4:$E$1347,B123,'Categorias'!$A$4:$A$1347,G$3)</x:f>
        <x:v>0</x:v>
      </x:c>
      <x:c r="H123" s="28" t="n">
        <x:f>SUMIFS('Categorias'!$F$4:$F$1347,'Categorias'!$E$4:$E$1347,B123,'Categorias'!$A$4:$A$1347,H$3)</x:f>
        <x:v>6798</x:v>
      </x:c>
      <x:c r="I123" s="28" t="n">
        <x:f>SUMIFS('Categorias'!$F$4:$F$1347,'Categorias'!$E$4:$E$1347,B123,'Categorias'!$A$4:$A$1347,I$3)</x:f>
        <x:v>2508</x:v>
      </x:c>
      <x:c r="J123" s="28" t="n">
        <x:f>SUMIFS('Categorias'!$F$4:$F$1347,'Categorias'!$E$4:$E$1347,B123,'Categorias'!$A$4:$A$1347,J$3)</x:f>
        <x:v>68</x:v>
      </x:c>
      <x:c r="K123" s="28" t="n">
        <x:f>SUMIFS('Categorias'!$F$4:$F$1347,'Categorias'!$E$4:$E$1347,B123,'Categorias'!$A$4:$A$1347,K$3)</x:f>
        <x:v>0</x:v>
      </x:c>
      <x:c r="L123" s="28" t="n">
        <x:f>SUMIFS('Categorias'!$F$4:$F$1347,'Categorias'!$E$4:$E$1347,B123,'Categorias'!$A$4:$A$1347,L$3)</x:f>
        <x:v>0</x:v>
      </x:c>
      <x:c r="M123" s="28" t="n">
        <x:f>SUMIFS('Categorias'!$F$4:$F$1347,'Categorias'!$E$4:$E$1347,B123,'Categorias'!$A$4:$A$1347,M$3)</x:f>
        <x:v>0</x:v>
      </x:c>
      <x:c r="N123" s="47" t="n">
        <x:f>SUMIFS('Categorias'!$F$4:$F$1347,'Categorias'!$E$4:$E$1347,B123,'Categorias'!$A$4:$A$1347,N$3)</x:f>
        <x:v>1156</x:v>
      </x:c>
    </x:row>
    <x:row r="124">
      <x:c r="A124" s="39" t="n">
        <x:f>RANK.EQ(C124,$C$4:$C$273,0)</x:f>
        <x:v>121</x:v>
      </x:c>
      <x:c r="B124" s="40" t="str">
        <x:v>IIIIIIIIIII</x:v>
      </x:c>
      <x:c r="C124" s="28" t="n">
        <x:f>SUMIF('Categorias'!$E$4:$E$1347,B124,'Categorias'!$F$4:$F$1347)</x:f>
        <x:v>243187</x:v>
      </x:c>
      <x:c r="D124" s="28" t="n">
        <x:f>SUMIFS('Categorias'!$F$4:$F$1347,'Categorias'!$E$4:$E$1347,B124,'Categorias'!$A$4:$A$1347,D$3)</x:f>
        <x:v>164620</x:v>
      </x:c>
      <x:c r="E124" s="28" t="n">
        <x:f>SUMIFS('Categorias'!$F$4:$F$1347,'Categorias'!$E$4:$E$1347,B124,'Categorias'!$A$4:$A$1347,E$3)</x:f>
        <x:v>2437</x:v>
      </x:c>
      <x:c r="F124" s="28" t="n">
        <x:f>SUMIFS('Categorias'!$F$4:$F$1347,'Categorias'!$E$4:$E$1347,B124,'Categorias'!$A$4:$A$1347,F$3)</x:f>
        <x:v>10899</x:v>
      </x:c>
      <x:c r="G124" s="28" t="n">
        <x:f>SUMIFS('Categorias'!$F$4:$F$1347,'Categorias'!$E$4:$E$1347,B124,'Categorias'!$A$4:$A$1347,G$3)</x:f>
        <x:v>32731</x:v>
      </x:c>
      <x:c r="H124" s="28" t="n">
        <x:f>SUMIFS('Categorias'!$F$4:$F$1347,'Categorias'!$E$4:$E$1347,B124,'Categorias'!$A$4:$A$1347,H$3)</x:f>
        <x:v>2359</x:v>
      </x:c>
      <x:c r="I124" s="28" t="n">
        <x:f>SUMIFS('Categorias'!$F$4:$F$1347,'Categorias'!$E$4:$E$1347,B124,'Categorias'!$A$4:$A$1347,I$3)</x:f>
        <x:v>16756</x:v>
      </x:c>
      <x:c r="J124" s="28" t="n">
        <x:f>SUMIFS('Categorias'!$F$4:$F$1347,'Categorias'!$E$4:$E$1347,B124,'Categorias'!$A$4:$A$1347,J$3)</x:f>
        <x:v>13385</x:v>
      </x:c>
      <x:c r="K124" s="28" t="n">
        <x:f>SUMIFS('Categorias'!$F$4:$F$1347,'Categorias'!$E$4:$E$1347,B124,'Categorias'!$A$4:$A$1347,K$3)</x:f>
        <x:v>0</x:v>
      </x:c>
      <x:c r="L124" s="28" t="n">
        <x:f>SUMIFS('Categorias'!$F$4:$F$1347,'Categorias'!$E$4:$E$1347,B124,'Categorias'!$A$4:$A$1347,L$3)</x:f>
        <x:v>0</x:v>
      </x:c>
      <x:c r="M124" s="28" t="n">
        <x:f>SUMIFS('Categorias'!$F$4:$F$1347,'Categorias'!$E$4:$E$1347,B124,'Categorias'!$A$4:$A$1347,M$3)</x:f>
        <x:v>0</x:v>
      </x:c>
      <x:c r="N124" s="47" t="n">
        <x:f>SUMIFS('Categorias'!$F$4:$F$1347,'Categorias'!$E$4:$E$1347,B124,'Categorias'!$A$4:$A$1347,N$3)</x:f>
        <x:v>0</x:v>
      </x:c>
    </x:row>
    <x:row r="125">
      <x:c r="A125" s="39" t="n">
        <x:f>RANK.EQ(C125,$C$4:$C$273,0)</x:f>
        <x:v>122</x:v>
      </x:c>
      <x:c r="B125" s="40" t="str">
        <x:v>ROLEPLAY</x:v>
      </x:c>
      <x:c r="C125" s="28" t="n">
        <x:f>SUMIF('Categorias'!$E$4:$E$1347,B125,'Categorias'!$F$4:$F$1347)</x:f>
        <x:v>242416</x:v>
      </x:c>
      <x:c r="D125" s="28" t="n">
        <x:f>SUMIFS('Categorias'!$F$4:$F$1347,'Categorias'!$E$4:$E$1347,B125,'Categorias'!$A$4:$A$1347,D$3)</x:f>
        <x:v>232789</x:v>
      </x:c>
      <x:c r="E125" s="28" t="n">
        <x:f>SUMIFS('Categorias'!$F$4:$F$1347,'Categorias'!$E$4:$E$1347,B125,'Categorias'!$A$4:$A$1347,E$3)</x:f>
        <x:v>518</x:v>
      </x:c>
      <x:c r="F125" s="28" t="n">
        <x:f>SUMIFS('Categorias'!$F$4:$F$1347,'Categorias'!$E$4:$E$1347,B125,'Categorias'!$A$4:$A$1347,F$3)</x:f>
        <x:v>2231</x:v>
      </x:c>
      <x:c r="G125" s="28" t="n">
        <x:f>SUMIFS('Categorias'!$F$4:$F$1347,'Categorias'!$E$4:$E$1347,B125,'Categorias'!$A$4:$A$1347,G$3)</x:f>
        <x:v>5685</x:v>
      </x:c>
      <x:c r="H125" s="28" t="n">
        <x:f>SUMIFS('Categorias'!$F$4:$F$1347,'Categorias'!$E$4:$E$1347,B125,'Categorias'!$A$4:$A$1347,H$3)</x:f>
        <x:v>1193</x:v>
      </x:c>
      <x:c r="I125" s="28" t="n">
        <x:f>SUMIFS('Categorias'!$F$4:$F$1347,'Categorias'!$E$4:$E$1347,B125,'Categorias'!$A$4:$A$1347,I$3)</x:f>
        <x:v>0</x:v>
      </x:c>
      <x:c r="J125" s="28" t="n">
        <x:f>SUMIFS('Categorias'!$F$4:$F$1347,'Categorias'!$E$4:$E$1347,B125,'Categorias'!$A$4:$A$1347,J$3)</x:f>
        <x:v>0</x:v>
      </x:c>
      <x:c r="K125" s="28" t="n">
        <x:f>SUMIFS('Categorias'!$F$4:$F$1347,'Categorias'!$E$4:$E$1347,B125,'Categorias'!$A$4:$A$1347,K$3)</x:f>
        <x:v>0</x:v>
      </x:c>
      <x:c r="L125" s="28" t="n">
        <x:f>SUMIFS('Categorias'!$F$4:$F$1347,'Categorias'!$E$4:$E$1347,B125,'Categorias'!$A$4:$A$1347,L$3)</x:f>
        <x:v>0</x:v>
      </x:c>
      <x:c r="M125" s="28" t="n">
        <x:f>SUMIFS('Categorias'!$F$4:$F$1347,'Categorias'!$E$4:$E$1347,B125,'Categorias'!$A$4:$A$1347,M$3)</x:f>
        <x:v>0</x:v>
      </x:c>
      <x:c r="N125" s="47" t="n">
        <x:f>SUMIFS('Categorias'!$F$4:$F$1347,'Categorias'!$E$4:$E$1347,B125,'Categorias'!$A$4:$A$1347,N$3)</x:f>
        <x:v>0</x:v>
      </x:c>
    </x:row>
    <x:row r="126">
      <x:c r="A126" s="39" t="n">
        <x:f>RANK.EQ(C126,$C$4:$C$273,0)</x:f>
        <x:v>123</x:v>
      </x:c>
      <x:c r="B126" s="40" t="str">
        <x:v>TOTOYBATO</x:v>
      </x:c>
      <x:c r="C126" s="28" t="n">
        <x:f>SUMIF('Categorias'!$E$4:$E$1347,B126,'Categorias'!$F$4:$F$1347)</x:f>
        <x:v>240899</x:v>
      </x:c>
      <x:c r="D126" s="28" t="n">
        <x:f>SUMIFS('Categorias'!$F$4:$F$1347,'Categorias'!$E$4:$E$1347,B126,'Categorias'!$A$4:$A$1347,D$3)</x:f>
        <x:v>240899</x:v>
      </x:c>
      <x:c r="E126" s="28" t="n">
        <x:f>SUMIFS('Categorias'!$F$4:$F$1347,'Categorias'!$E$4:$E$1347,B126,'Categorias'!$A$4:$A$1347,E$3)</x:f>
        <x:v>0</x:v>
      </x:c>
      <x:c r="F126" s="28" t="n">
        <x:f>SUMIFS('Categorias'!$F$4:$F$1347,'Categorias'!$E$4:$E$1347,B126,'Categorias'!$A$4:$A$1347,F$3)</x:f>
        <x:v>0</x:v>
      </x:c>
      <x:c r="G126" s="28" t="n">
        <x:f>SUMIFS('Categorias'!$F$4:$F$1347,'Categorias'!$E$4:$E$1347,B126,'Categorias'!$A$4:$A$1347,G$3)</x:f>
        <x:v>0</x:v>
      </x:c>
      <x:c r="H126" s="28" t="n">
        <x:f>SUMIFS('Categorias'!$F$4:$F$1347,'Categorias'!$E$4:$E$1347,B126,'Categorias'!$A$4:$A$1347,H$3)</x:f>
        <x:v>0</x:v>
      </x:c>
      <x:c r="I126" s="28" t="n">
        <x:f>SUMIFS('Categorias'!$F$4:$F$1347,'Categorias'!$E$4:$E$1347,B126,'Categorias'!$A$4:$A$1347,I$3)</x:f>
        <x:v>0</x:v>
      </x:c>
      <x:c r="J126" s="28" t="n">
        <x:f>SUMIFS('Categorias'!$F$4:$F$1347,'Categorias'!$E$4:$E$1347,B126,'Categorias'!$A$4:$A$1347,J$3)</x:f>
        <x:v>0</x:v>
      </x:c>
      <x:c r="K126" s="28" t="n">
        <x:f>SUMIFS('Categorias'!$F$4:$F$1347,'Categorias'!$E$4:$E$1347,B126,'Categorias'!$A$4:$A$1347,K$3)</x:f>
        <x:v>0</x:v>
      </x:c>
      <x:c r="L126" s="28" t="n">
        <x:f>SUMIFS('Categorias'!$F$4:$F$1347,'Categorias'!$E$4:$E$1347,B126,'Categorias'!$A$4:$A$1347,L$3)</x:f>
        <x:v>0</x:v>
      </x:c>
      <x:c r="M126" s="28" t="n">
        <x:f>SUMIFS('Categorias'!$F$4:$F$1347,'Categorias'!$E$4:$E$1347,B126,'Categorias'!$A$4:$A$1347,M$3)</x:f>
        <x:v>0</x:v>
      </x:c>
      <x:c r="N126" s="47" t="n">
        <x:f>SUMIFS('Categorias'!$F$4:$F$1347,'Categorias'!$E$4:$E$1347,B126,'Categorias'!$A$4:$A$1347,N$3)</x:f>
        <x:v>0</x:v>
      </x:c>
    </x:row>
    <x:row r="127">
      <x:c r="A127" s="39" t="n">
        <x:f>RANK.EQ(C127,$C$4:$C$273,0)</x:f>
        <x:v>124</x:v>
      </x:c>
      <x:c r="B127" s="40" t="str">
        <x:v>Lostmothers</x:v>
      </x:c>
      <x:c r="C127" s="28" t="n">
        <x:f>SUMIF('Categorias'!$E$4:$E$1347,B127,'Categorias'!$F$4:$F$1347)</x:f>
        <x:v>240759</x:v>
      </x:c>
      <x:c r="D127" s="28" t="n">
        <x:f>SUMIFS('Categorias'!$F$4:$F$1347,'Categorias'!$E$4:$E$1347,B127,'Categorias'!$A$4:$A$1347,D$3)</x:f>
        <x:v>185754</x:v>
      </x:c>
      <x:c r="E127" s="28" t="n">
        <x:f>SUMIFS('Categorias'!$F$4:$F$1347,'Categorias'!$E$4:$E$1347,B127,'Categorias'!$A$4:$A$1347,E$3)</x:f>
        <x:v>14265</x:v>
      </x:c>
      <x:c r="F127" s="28" t="n">
        <x:f>SUMIFS('Categorias'!$F$4:$F$1347,'Categorias'!$E$4:$E$1347,B127,'Categorias'!$A$4:$A$1347,F$3)</x:f>
        <x:v>3467</x:v>
      </x:c>
      <x:c r="G127" s="28" t="n">
        <x:f>SUMIFS('Categorias'!$F$4:$F$1347,'Categorias'!$E$4:$E$1347,B127,'Categorias'!$A$4:$A$1347,G$3)</x:f>
        <x:v>4548</x:v>
      </x:c>
      <x:c r="H127" s="28" t="n">
        <x:f>SUMIFS('Categorias'!$F$4:$F$1347,'Categorias'!$E$4:$E$1347,B127,'Categorias'!$A$4:$A$1347,H$3)</x:f>
        <x:v>9092</x:v>
      </x:c>
      <x:c r="I127" s="28" t="n">
        <x:f>SUMIFS('Categorias'!$F$4:$F$1347,'Categorias'!$E$4:$E$1347,B127,'Categorias'!$A$4:$A$1347,I$3)</x:f>
        <x:v>131</x:v>
      </x:c>
      <x:c r="J127" s="28" t="n">
        <x:f>SUMIFS('Categorias'!$F$4:$F$1347,'Categorias'!$E$4:$E$1347,B127,'Categorias'!$A$4:$A$1347,J$3)</x:f>
        <x:v>23502</x:v>
      </x:c>
      <x:c r="K127" s="28" t="n">
        <x:f>SUMIFS('Categorias'!$F$4:$F$1347,'Categorias'!$E$4:$E$1347,B127,'Categorias'!$A$4:$A$1347,K$3)</x:f>
        <x:v>0</x:v>
      </x:c>
      <x:c r="L127" s="28" t="n">
        <x:f>SUMIFS('Categorias'!$F$4:$F$1347,'Categorias'!$E$4:$E$1347,B127,'Categorias'!$A$4:$A$1347,L$3)</x:f>
        <x:v>0</x:v>
      </x:c>
      <x:c r="M127" s="28" t="n">
        <x:f>SUMIFS('Categorias'!$F$4:$F$1347,'Categorias'!$E$4:$E$1347,B127,'Categorias'!$A$4:$A$1347,M$3)</x:f>
        <x:v>0</x:v>
      </x:c>
      <x:c r="N127" s="47" t="n">
        <x:f>SUMIFS('Categorias'!$F$4:$F$1347,'Categorias'!$E$4:$E$1347,B127,'Categorias'!$A$4:$A$1347,N$3)</x:f>
        <x:v>0</x:v>
      </x:c>
    </x:row>
    <x:row r="128">
      <x:c r="A128" s="39" t="n">
        <x:f>RANK.EQ(C128,$C$4:$C$273,0)</x:f>
        <x:v>125</x:v>
      </x:c>
      <x:c r="B128" s="40" t="str">
        <x:v>Wolfy1st</x:v>
      </x:c>
      <x:c r="C128" s="28" t="n">
        <x:f>SUMIF('Categorias'!$E$4:$E$1347,B128,'Categorias'!$F$4:$F$1347)</x:f>
        <x:v>227028</x:v>
      </x:c>
      <x:c r="D128" s="28" t="n">
        <x:f>SUMIFS('Categorias'!$F$4:$F$1347,'Categorias'!$E$4:$E$1347,B128,'Categorias'!$A$4:$A$1347,D$3)</x:f>
        <x:v>226761</x:v>
      </x:c>
      <x:c r="E128" s="28" t="n">
        <x:f>SUMIFS('Categorias'!$F$4:$F$1347,'Categorias'!$E$4:$E$1347,B128,'Categorias'!$A$4:$A$1347,E$3)</x:f>
        <x:v>267</x:v>
      </x:c>
      <x:c r="F128" s="28" t="n">
        <x:f>SUMIFS('Categorias'!$F$4:$F$1347,'Categorias'!$E$4:$E$1347,B128,'Categorias'!$A$4:$A$1347,F$3)</x:f>
        <x:v>0</x:v>
      </x:c>
      <x:c r="G128" s="28" t="n">
        <x:f>SUMIFS('Categorias'!$F$4:$F$1347,'Categorias'!$E$4:$E$1347,B128,'Categorias'!$A$4:$A$1347,G$3)</x:f>
        <x:v>0</x:v>
      </x:c>
      <x:c r="H128" s="28" t="n">
        <x:f>SUMIFS('Categorias'!$F$4:$F$1347,'Categorias'!$E$4:$E$1347,B128,'Categorias'!$A$4:$A$1347,H$3)</x:f>
        <x:v>0</x:v>
      </x:c>
      <x:c r="I128" s="28" t="n">
        <x:f>SUMIFS('Categorias'!$F$4:$F$1347,'Categorias'!$E$4:$E$1347,B128,'Categorias'!$A$4:$A$1347,I$3)</x:f>
        <x:v>0</x:v>
      </x:c>
      <x:c r="J128" s="28" t="n">
        <x:f>SUMIFS('Categorias'!$F$4:$F$1347,'Categorias'!$E$4:$E$1347,B128,'Categorias'!$A$4:$A$1347,J$3)</x:f>
        <x:v>0</x:v>
      </x:c>
      <x:c r="K128" s="28" t="n">
        <x:f>SUMIFS('Categorias'!$F$4:$F$1347,'Categorias'!$E$4:$E$1347,B128,'Categorias'!$A$4:$A$1347,K$3)</x:f>
        <x:v>0</x:v>
      </x:c>
      <x:c r="L128" s="28" t="n">
        <x:f>SUMIFS('Categorias'!$F$4:$F$1347,'Categorias'!$E$4:$E$1347,B128,'Categorias'!$A$4:$A$1347,L$3)</x:f>
        <x:v>0</x:v>
      </x:c>
      <x:c r="M128" s="28" t="n">
        <x:f>SUMIFS('Categorias'!$F$4:$F$1347,'Categorias'!$E$4:$E$1347,B128,'Categorias'!$A$4:$A$1347,M$3)</x:f>
        <x:v>0</x:v>
      </x:c>
      <x:c r="N128" s="47" t="n">
        <x:f>SUMIFS('Categorias'!$F$4:$F$1347,'Categorias'!$E$4:$E$1347,B128,'Categorias'!$A$4:$A$1347,N$3)</x:f>
        <x:v>0</x:v>
      </x:c>
    </x:row>
    <x:row r="129">
      <x:c r="A129" s="39" t="n">
        <x:f>RANK.EQ(C129,$C$4:$C$273,0)</x:f>
        <x:v>126</x:v>
      </x:c>
      <x:c r="B129" s="40" t="str">
        <x:v>tfmPuniSHEr</x:v>
      </x:c>
      <x:c r="C129" s="28" t="n">
        <x:f>SUMIF('Categorias'!$E$4:$E$1347,B129,'Categorias'!$F$4:$F$1347)</x:f>
        <x:v>226148</x:v>
      </x:c>
      <x:c r="D129" s="28" t="n">
        <x:f>SUMIFS('Categorias'!$F$4:$F$1347,'Categorias'!$E$4:$E$1347,B129,'Categorias'!$A$4:$A$1347,D$3)</x:f>
        <x:v>214508</x:v>
      </x:c>
      <x:c r="E129" s="28" t="n">
        <x:f>SUMIFS('Categorias'!$F$4:$F$1347,'Categorias'!$E$4:$E$1347,B129,'Categorias'!$A$4:$A$1347,E$3)</x:f>
        <x:v>2878</x:v>
      </x:c>
      <x:c r="F129" s="28" t="n">
        <x:f>SUMIFS('Categorias'!$F$4:$F$1347,'Categorias'!$E$4:$E$1347,B129,'Categorias'!$A$4:$A$1347,F$3)</x:f>
        <x:v>0</x:v>
      </x:c>
      <x:c r="G129" s="28" t="n">
        <x:f>SUMIFS('Categorias'!$F$4:$F$1347,'Categorias'!$E$4:$E$1347,B129,'Categorias'!$A$4:$A$1347,G$3)</x:f>
        <x:v>6159</x:v>
      </x:c>
      <x:c r="H129" s="28" t="n">
        <x:f>SUMIFS('Categorias'!$F$4:$F$1347,'Categorias'!$E$4:$E$1347,B129,'Categorias'!$A$4:$A$1347,H$3)</x:f>
        <x:v>1494</x:v>
      </x:c>
      <x:c r="I129" s="28" t="n">
        <x:f>SUMIFS('Categorias'!$F$4:$F$1347,'Categorias'!$E$4:$E$1347,B129,'Categorias'!$A$4:$A$1347,I$3)</x:f>
        <x:v>378</x:v>
      </x:c>
      <x:c r="J129" s="28" t="n">
        <x:f>SUMIFS('Categorias'!$F$4:$F$1347,'Categorias'!$E$4:$E$1347,B129,'Categorias'!$A$4:$A$1347,J$3)</x:f>
        <x:v>731</x:v>
      </x:c>
      <x:c r="K129" s="28" t="n">
        <x:f>SUMIFS('Categorias'!$F$4:$F$1347,'Categorias'!$E$4:$E$1347,B129,'Categorias'!$A$4:$A$1347,K$3)</x:f>
        <x:v>0</x:v>
      </x:c>
      <x:c r="L129" s="28" t="n">
        <x:f>SUMIFS('Categorias'!$F$4:$F$1347,'Categorias'!$E$4:$E$1347,B129,'Categorias'!$A$4:$A$1347,L$3)</x:f>
        <x:v>0</x:v>
      </x:c>
      <x:c r="M129" s="28" t="n">
        <x:f>SUMIFS('Categorias'!$F$4:$F$1347,'Categorias'!$E$4:$E$1347,B129,'Categorias'!$A$4:$A$1347,M$3)</x:f>
        <x:v>0</x:v>
      </x:c>
      <x:c r="N129" s="47" t="n">
        <x:f>SUMIFS('Categorias'!$F$4:$F$1347,'Categorias'!$E$4:$E$1347,B129,'Categorias'!$A$4:$A$1347,N$3)</x:f>
        <x:v>0</x:v>
      </x:c>
    </x:row>
    <x:row r="130">
      <x:c r="A130" s="39" t="n">
        <x:f>RANK.EQ(C130,$C$4:$C$273,0)</x:f>
        <x:v>127</x:v>
      </x:c>
      <x:c r="B130" s="40" t="str">
        <x:v>JackTrip21</x:v>
      </x:c>
      <x:c r="C130" s="28" t="n">
        <x:f>SUMIF('Categorias'!$E$4:$E$1347,B130,'Categorias'!$F$4:$F$1347)</x:f>
        <x:v>215903</x:v>
      </x:c>
      <x:c r="D130" s="28" t="n">
        <x:f>SUMIFS('Categorias'!$F$4:$F$1347,'Categorias'!$E$4:$E$1347,B130,'Categorias'!$A$4:$A$1347,D$3)</x:f>
        <x:v>177947</x:v>
      </x:c>
      <x:c r="E130" s="28" t="n">
        <x:f>SUMIFS('Categorias'!$F$4:$F$1347,'Categorias'!$E$4:$E$1347,B130,'Categorias'!$A$4:$A$1347,E$3)</x:f>
        <x:v>7693</x:v>
      </x:c>
      <x:c r="F130" s="28" t="n">
        <x:f>SUMIFS('Categorias'!$F$4:$F$1347,'Categorias'!$E$4:$E$1347,B130,'Categorias'!$A$4:$A$1347,F$3)</x:f>
        <x:v>0</x:v>
      </x:c>
      <x:c r="G130" s="28" t="n">
        <x:f>SUMIFS('Categorias'!$F$4:$F$1347,'Categorias'!$E$4:$E$1347,B130,'Categorias'!$A$4:$A$1347,G$3)</x:f>
        <x:v>0</x:v>
      </x:c>
      <x:c r="H130" s="28" t="n">
        <x:f>SUMIFS('Categorias'!$F$4:$F$1347,'Categorias'!$E$4:$E$1347,B130,'Categorias'!$A$4:$A$1347,H$3)</x:f>
        <x:v>3293</x:v>
      </x:c>
      <x:c r="I130" s="28" t="n">
        <x:f>SUMIFS('Categorias'!$F$4:$F$1347,'Categorias'!$E$4:$E$1347,B130,'Categorias'!$A$4:$A$1347,I$3)</x:f>
        <x:v>21019</x:v>
      </x:c>
      <x:c r="J130" s="28" t="n">
        <x:f>SUMIFS('Categorias'!$F$4:$F$1347,'Categorias'!$E$4:$E$1347,B130,'Categorias'!$A$4:$A$1347,J$3)</x:f>
        <x:v>0</x:v>
      </x:c>
      <x:c r="K130" s="28" t="n">
        <x:f>SUMIFS('Categorias'!$F$4:$F$1347,'Categorias'!$E$4:$E$1347,B130,'Categorias'!$A$4:$A$1347,K$3)</x:f>
        <x:v>0</x:v>
      </x:c>
      <x:c r="L130" s="28" t="n">
        <x:f>SUMIFS('Categorias'!$F$4:$F$1347,'Categorias'!$E$4:$E$1347,B130,'Categorias'!$A$4:$A$1347,L$3)</x:f>
        <x:v>0</x:v>
      </x:c>
      <x:c r="M130" s="28" t="n">
        <x:f>SUMIFS('Categorias'!$F$4:$F$1347,'Categorias'!$E$4:$E$1347,B130,'Categorias'!$A$4:$A$1347,M$3)</x:f>
        <x:v>0</x:v>
      </x:c>
      <x:c r="N130" s="47" t="n">
        <x:f>SUMIFS('Categorias'!$F$4:$F$1347,'Categorias'!$E$4:$E$1347,B130,'Categorias'!$A$4:$A$1347,N$3)</x:f>
        <x:v>0</x:v>
      </x:c>
    </x:row>
    <x:row r="131">
      <x:c r="A131" s="39" t="n">
        <x:f>RANK.EQ(C131,$C$4:$C$273,0)</x:f>
        <x:v>128</x:v>
      </x:c>
      <x:c r="B131" s="40" t="str">
        <x:v>ThordaSilva</x:v>
      </x:c>
      <x:c r="C131" s="28" t="n">
        <x:f>SUMIF('Categorias'!$E$4:$E$1347,B131,'Categorias'!$F$4:$F$1347)</x:f>
        <x:v>209851</x:v>
      </x:c>
      <x:c r="D131" s="28" t="n">
        <x:f>SUMIFS('Categorias'!$F$4:$F$1347,'Categorias'!$E$4:$E$1347,B131,'Categorias'!$A$4:$A$1347,D$3)</x:f>
        <x:v>209851</x:v>
      </x:c>
      <x:c r="E131" s="28" t="n">
        <x:f>SUMIFS('Categorias'!$F$4:$F$1347,'Categorias'!$E$4:$E$1347,B131,'Categorias'!$A$4:$A$1347,E$3)</x:f>
        <x:v>0</x:v>
      </x:c>
      <x:c r="F131" s="28" t="n">
        <x:f>SUMIFS('Categorias'!$F$4:$F$1347,'Categorias'!$E$4:$E$1347,B131,'Categorias'!$A$4:$A$1347,F$3)</x:f>
        <x:v>0</x:v>
      </x:c>
      <x:c r="G131" s="28" t="n">
        <x:f>SUMIFS('Categorias'!$F$4:$F$1347,'Categorias'!$E$4:$E$1347,B131,'Categorias'!$A$4:$A$1347,G$3)</x:f>
        <x:v>0</x:v>
      </x:c>
      <x:c r="H131" s="28" t="n">
        <x:f>SUMIFS('Categorias'!$F$4:$F$1347,'Categorias'!$E$4:$E$1347,B131,'Categorias'!$A$4:$A$1347,H$3)</x:f>
        <x:v>0</x:v>
      </x:c>
      <x:c r="I131" s="28" t="n">
        <x:f>SUMIFS('Categorias'!$F$4:$F$1347,'Categorias'!$E$4:$E$1347,B131,'Categorias'!$A$4:$A$1347,I$3)</x:f>
        <x:v>0</x:v>
      </x:c>
      <x:c r="J131" s="28" t="n">
        <x:f>SUMIFS('Categorias'!$F$4:$F$1347,'Categorias'!$E$4:$E$1347,B131,'Categorias'!$A$4:$A$1347,J$3)</x:f>
        <x:v>0</x:v>
      </x:c>
      <x:c r="K131" s="28" t="n">
        <x:f>SUMIFS('Categorias'!$F$4:$F$1347,'Categorias'!$E$4:$E$1347,B131,'Categorias'!$A$4:$A$1347,K$3)</x:f>
        <x:v>0</x:v>
      </x:c>
      <x:c r="L131" s="28" t="n">
        <x:f>SUMIFS('Categorias'!$F$4:$F$1347,'Categorias'!$E$4:$E$1347,B131,'Categorias'!$A$4:$A$1347,L$3)</x:f>
        <x:v>0</x:v>
      </x:c>
      <x:c r="M131" s="28" t="n">
        <x:f>SUMIFS('Categorias'!$F$4:$F$1347,'Categorias'!$E$4:$E$1347,B131,'Categorias'!$A$4:$A$1347,M$3)</x:f>
        <x:v>0</x:v>
      </x:c>
      <x:c r="N131" s="47" t="n">
        <x:f>SUMIFS('Categorias'!$F$4:$F$1347,'Categorias'!$E$4:$E$1347,B131,'Categorias'!$A$4:$A$1347,N$3)</x:f>
        <x:v>0</x:v>
      </x:c>
    </x:row>
    <x:row r="132">
      <x:c r="A132" s="39" t="n">
        <x:f>RANK.EQ(C132,$C$4:$C$273,0)</x:f>
        <x:v>129</x:v>
      </x:c>
      <x:c r="B132" s="40" t="str">
        <x:v>vitinraba</x:v>
      </x:c>
      <x:c r="C132" s="28" t="n">
        <x:f>SUMIF('Categorias'!$E$4:$E$1347,B132,'Categorias'!$F$4:$F$1347)</x:f>
        <x:v>208314</x:v>
      </x:c>
      <x:c r="D132" s="28" t="n">
        <x:f>SUMIFS('Categorias'!$F$4:$F$1347,'Categorias'!$E$4:$E$1347,B132,'Categorias'!$A$4:$A$1347,D$3)</x:f>
        <x:v>152200</x:v>
      </x:c>
      <x:c r="E132" s="28" t="n">
        <x:f>SUMIFS('Categorias'!$F$4:$F$1347,'Categorias'!$E$4:$E$1347,B132,'Categorias'!$A$4:$A$1347,E$3)</x:f>
        <x:v>12050</x:v>
      </x:c>
      <x:c r="F132" s="28" t="n">
        <x:f>SUMIFS('Categorias'!$F$4:$F$1347,'Categorias'!$E$4:$E$1347,B132,'Categorias'!$A$4:$A$1347,F$3)</x:f>
        <x:v>0</x:v>
      </x:c>
      <x:c r="G132" s="28" t="n">
        <x:f>SUMIFS('Categorias'!$F$4:$F$1347,'Categorias'!$E$4:$E$1347,B132,'Categorias'!$A$4:$A$1347,G$3)</x:f>
        <x:v>15860</x:v>
      </x:c>
      <x:c r="H132" s="28" t="n">
        <x:f>SUMIFS('Categorias'!$F$4:$F$1347,'Categorias'!$E$4:$E$1347,B132,'Categorias'!$A$4:$A$1347,H$3)</x:f>
        <x:v>5642</x:v>
      </x:c>
      <x:c r="I132" s="28" t="n">
        <x:f>SUMIFS('Categorias'!$F$4:$F$1347,'Categorias'!$E$4:$E$1347,B132,'Categorias'!$A$4:$A$1347,I$3)</x:f>
        <x:v>15018</x:v>
      </x:c>
      <x:c r="J132" s="28" t="n">
        <x:f>SUMIFS('Categorias'!$F$4:$F$1347,'Categorias'!$E$4:$E$1347,B132,'Categorias'!$A$4:$A$1347,J$3)</x:f>
        <x:v>5853</x:v>
      </x:c>
      <x:c r="K132" s="28" t="n">
        <x:f>SUMIFS('Categorias'!$F$4:$F$1347,'Categorias'!$E$4:$E$1347,B132,'Categorias'!$A$4:$A$1347,K$3)</x:f>
        <x:v>0</x:v>
      </x:c>
      <x:c r="L132" s="28" t="n">
        <x:f>SUMIFS('Categorias'!$F$4:$F$1347,'Categorias'!$E$4:$E$1347,B132,'Categorias'!$A$4:$A$1347,L$3)</x:f>
        <x:v>392</x:v>
      </x:c>
      <x:c r="M132" s="28" t="n">
        <x:f>SUMIFS('Categorias'!$F$4:$F$1347,'Categorias'!$E$4:$E$1347,B132,'Categorias'!$A$4:$A$1347,M$3)</x:f>
        <x:v>0</x:v>
      </x:c>
      <x:c r="N132" s="47" t="n">
        <x:f>SUMIFS('Categorias'!$F$4:$F$1347,'Categorias'!$E$4:$E$1347,B132,'Categorias'!$A$4:$A$1347,N$3)</x:f>
        <x:v>1299</x:v>
      </x:c>
    </x:row>
    <x:row r="133">
      <x:c r="A133" s="39" t="n">
        <x:f>RANK.EQ(C133,$C$4:$C$273,0)</x:f>
        <x:v>130</x:v>
      </x:c>
      <x:c r="B133" s="40" t="str">
        <x:v>TheoTheLion</x:v>
      </x:c>
      <x:c r="C133" s="28" t="n">
        <x:f>SUMIF('Categorias'!$E$4:$E$1347,B133,'Categorias'!$F$4:$F$1347)</x:f>
        <x:v>203255</x:v>
      </x:c>
      <x:c r="D133" s="28" t="n">
        <x:f>SUMIFS('Categorias'!$F$4:$F$1347,'Categorias'!$E$4:$E$1347,B133,'Categorias'!$A$4:$A$1347,D$3)</x:f>
        <x:v>163584</x:v>
      </x:c>
      <x:c r="E133" s="28" t="n">
        <x:f>SUMIFS('Categorias'!$F$4:$F$1347,'Categorias'!$E$4:$E$1347,B133,'Categorias'!$A$4:$A$1347,E$3)</x:f>
        <x:v>21268</x:v>
      </x:c>
      <x:c r="F133" s="28" t="n">
        <x:f>SUMIFS('Categorias'!$F$4:$F$1347,'Categorias'!$E$4:$E$1347,B133,'Categorias'!$A$4:$A$1347,F$3)</x:f>
        <x:v>0</x:v>
      </x:c>
      <x:c r="G133" s="28" t="n">
        <x:f>SUMIFS('Categorias'!$F$4:$F$1347,'Categorias'!$E$4:$E$1347,B133,'Categorias'!$A$4:$A$1347,G$3)</x:f>
        <x:v>0</x:v>
      </x:c>
      <x:c r="H133" s="28" t="n">
        <x:f>SUMIFS('Categorias'!$F$4:$F$1347,'Categorias'!$E$4:$E$1347,B133,'Categorias'!$A$4:$A$1347,H$3)</x:f>
        <x:v>2800</x:v>
      </x:c>
      <x:c r="I133" s="28" t="n">
        <x:f>SUMIFS('Categorias'!$F$4:$F$1347,'Categorias'!$E$4:$E$1347,B133,'Categorias'!$A$4:$A$1347,I$3)</x:f>
        <x:v>936</x:v>
      </x:c>
      <x:c r="J133" s="28" t="n">
        <x:f>SUMIFS('Categorias'!$F$4:$F$1347,'Categorias'!$E$4:$E$1347,B133,'Categorias'!$A$4:$A$1347,J$3)</x:f>
        <x:v>14667</x:v>
      </x:c>
      <x:c r="K133" s="28" t="n">
        <x:f>SUMIFS('Categorias'!$F$4:$F$1347,'Categorias'!$E$4:$E$1347,B133,'Categorias'!$A$4:$A$1347,K$3)</x:f>
        <x:v>0</x:v>
      </x:c>
      <x:c r="L133" s="28" t="n">
        <x:f>SUMIFS('Categorias'!$F$4:$F$1347,'Categorias'!$E$4:$E$1347,B133,'Categorias'!$A$4:$A$1347,L$3)</x:f>
        <x:v>0</x:v>
      </x:c>
      <x:c r="M133" s="28" t="n">
        <x:f>SUMIFS('Categorias'!$F$4:$F$1347,'Categorias'!$E$4:$E$1347,B133,'Categorias'!$A$4:$A$1347,M$3)</x:f>
        <x:v>0</x:v>
      </x:c>
      <x:c r="N133" s="47" t="n">
        <x:f>SUMIFS('Categorias'!$F$4:$F$1347,'Categorias'!$E$4:$E$1347,B133,'Categorias'!$A$4:$A$1347,N$3)</x:f>
        <x:v>0</x:v>
      </x:c>
    </x:row>
    <x:row r="134">
      <x:c r="A134" s="39" t="n">
        <x:f>RANK.EQ(C134,$C$4:$C$273,0)</x:f>
        <x:v>131</x:v>
      </x:c>
      <x:c r="B134" s="40" t="str">
        <x:v>RobertXVII</x:v>
      </x:c>
      <x:c r="C134" s="28" t="n">
        <x:f>SUMIF('Categorias'!$E$4:$E$1347,B134,'Categorias'!$F$4:$F$1347)</x:f>
        <x:v>202135</x:v>
      </x:c>
      <x:c r="D134" s="28" t="n">
        <x:f>SUMIFS('Categorias'!$F$4:$F$1347,'Categorias'!$E$4:$E$1347,B134,'Categorias'!$A$4:$A$1347,D$3)</x:f>
        <x:v>153204</x:v>
      </x:c>
      <x:c r="E134" s="28" t="n">
        <x:f>SUMIFS('Categorias'!$F$4:$F$1347,'Categorias'!$E$4:$E$1347,B134,'Categorias'!$A$4:$A$1347,E$3)</x:f>
        <x:v>30964</x:v>
      </x:c>
      <x:c r="F134" s="28" t="n">
        <x:f>SUMIFS('Categorias'!$F$4:$F$1347,'Categorias'!$E$4:$E$1347,B134,'Categorias'!$A$4:$A$1347,F$3)</x:f>
        <x:v>0</x:v>
      </x:c>
      <x:c r="G134" s="28" t="n">
        <x:f>SUMIFS('Categorias'!$F$4:$F$1347,'Categorias'!$E$4:$E$1347,B134,'Categorias'!$A$4:$A$1347,G$3)</x:f>
        <x:v>0</x:v>
      </x:c>
      <x:c r="H134" s="28" t="n">
        <x:f>SUMIFS('Categorias'!$F$4:$F$1347,'Categorias'!$E$4:$E$1347,B134,'Categorias'!$A$4:$A$1347,H$3)</x:f>
        <x:v>0</x:v>
      </x:c>
      <x:c r="I134" s="28" t="n">
        <x:f>SUMIFS('Categorias'!$F$4:$F$1347,'Categorias'!$E$4:$E$1347,B134,'Categorias'!$A$4:$A$1347,I$3)</x:f>
        <x:v>249</x:v>
      </x:c>
      <x:c r="J134" s="28" t="n">
        <x:f>SUMIFS('Categorias'!$F$4:$F$1347,'Categorias'!$E$4:$E$1347,B134,'Categorias'!$A$4:$A$1347,J$3)</x:f>
        <x:v>955</x:v>
      </x:c>
      <x:c r="K134" s="28" t="n">
        <x:f>SUMIFS('Categorias'!$F$4:$F$1347,'Categorias'!$E$4:$E$1347,B134,'Categorias'!$A$4:$A$1347,K$3)</x:f>
        <x:v>8194</x:v>
      </x:c>
      <x:c r="L134" s="28" t="n">
        <x:f>SUMIFS('Categorias'!$F$4:$F$1347,'Categorias'!$E$4:$E$1347,B134,'Categorias'!$A$4:$A$1347,L$3)</x:f>
        <x:v>0</x:v>
      </x:c>
      <x:c r="M134" s="28" t="n">
        <x:f>SUMIFS('Categorias'!$F$4:$F$1347,'Categorias'!$E$4:$E$1347,B134,'Categorias'!$A$4:$A$1347,M$3)</x:f>
        <x:v>1395</x:v>
      </x:c>
      <x:c r="N134" s="47" t="n">
        <x:f>SUMIFS('Categorias'!$F$4:$F$1347,'Categorias'!$E$4:$E$1347,B134,'Categorias'!$A$4:$A$1347,N$3)</x:f>
        <x:v>7174</x:v>
      </x:c>
    </x:row>
    <x:row r="135">
      <x:c r="A135" s="39" t="n">
        <x:f>RANK.EQ(C135,$C$4:$C$273,0)</x:f>
        <x:v>132</x:v>
      </x:c>
      <x:c r="B135" s="40" t="str">
        <x:v>kadigo</x:v>
      </x:c>
      <x:c r="C135" s="28" t="n">
        <x:f>SUMIF('Categorias'!$E$4:$E$1347,B135,'Categorias'!$F$4:$F$1347)</x:f>
        <x:v>195524</x:v>
      </x:c>
      <x:c r="D135" s="28" t="n">
        <x:f>SUMIFS('Categorias'!$F$4:$F$1347,'Categorias'!$E$4:$E$1347,B135,'Categorias'!$A$4:$A$1347,D$3)</x:f>
        <x:v>167464</x:v>
      </x:c>
      <x:c r="E135" s="28" t="n">
        <x:f>SUMIFS('Categorias'!$F$4:$F$1347,'Categorias'!$E$4:$E$1347,B135,'Categorias'!$A$4:$A$1347,E$3)</x:f>
        <x:v>14746</x:v>
      </x:c>
      <x:c r="F135" s="28" t="n">
        <x:f>SUMIFS('Categorias'!$F$4:$F$1347,'Categorias'!$E$4:$E$1347,B135,'Categorias'!$A$4:$A$1347,F$3)</x:f>
        <x:v>0</x:v>
      </x:c>
      <x:c r="G135" s="28" t="n">
        <x:f>SUMIFS('Categorias'!$F$4:$F$1347,'Categorias'!$E$4:$E$1347,B135,'Categorias'!$A$4:$A$1347,G$3)</x:f>
        <x:v>0</x:v>
      </x:c>
      <x:c r="H135" s="28" t="n">
        <x:f>SUMIFS('Categorias'!$F$4:$F$1347,'Categorias'!$E$4:$E$1347,B135,'Categorias'!$A$4:$A$1347,H$3)</x:f>
        <x:v>4348</x:v>
      </x:c>
      <x:c r="I135" s="28" t="n">
        <x:f>SUMIFS('Categorias'!$F$4:$F$1347,'Categorias'!$E$4:$E$1347,B135,'Categorias'!$A$4:$A$1347,I$3)</x:f>
        <x:v>1981</x:v>
      </x:c>
      <x:c r="J135" s="28" t="n">
        <x:f>SUMIFS('Categorias'!$F$4:$F$1347,'Categorias'!$E$4:$E$1347,B135,'Categorias'!$A$4:$A$1347,J$3)</x:f>
        <x:v>3026</x:v>
      </x:c>
      <x:c r="K135" s="28" t="n">
        <x:f>SUMIFS('Categorias'!$F$4:$F$1347,'Categorias'!$E$4:$E$1347,B135,'Categorias'!$A$4:$A$1347,K$3)</x:f>
        <x:v>0</x:v>
      </x:c>
      <x:c r="L135" s="28" t="n">
        <x:f>SUMIFS('Categorias'!$F$4:$F$1347,'Categorias'!$E$4:$E$1347,B135,'Categorias'!$A$4:$A$1347,L$3)</x:f>
        <x:v>1064</x:v>
      </x:c>
      <x:c r="M135" s="28" t="n">
        <x:f>SUMIFS('Categorias'!$F$4:$F$1347,'Categorias'!$E$4:$E$1347,B135,'Categorias'!$A$4:$A$1347,M$3)</x:f>
        <x:v>0</x:v>
      </x:c>
      <x:c r="N135" s="47" t="n">
        <x:f>SUMIFS('Categorias'!$F$4:$F$1347,'Categorias'!$E$4:$E$1347,B135,'Categorias'!$A$4:$A$1347,N$3)</x:f>
        <x:v>2895</x:v>
      </x:c>
    </x:row>
    <x:row r="136">
      <x:c r="A136" s="39" t="n">
        <x:f>RANK.EQ(C136,$C$4:$C$273,0)</x:f>
        <x:v>133</x:v>
      </x:c>
      <x:c r="B136" s="40" t="str">
        <x:v>Madruguinha</x:v>
      </x:c>
      <x:c r="C136" s="28" t="n">
        <x:f>SUMIF('Categorias'!$E$4:$E$1347,B136,'Categorias'!$F$4:$F$1347)</x:f>
        <x:v>190792</x:v>
      </x:c>
      <x:c r="D136" s="28" t="n">
        <x:f>SUMIFS('Categorias'!$F$4:$F$1347,'Categorias'!$E$4:$E$1347,B136,'Categorias'!$A$4:$A$1347,D$3)</x:f>
        <x:v>133757</x:v>
      </x:c>
      <x:c r="E136" s="28" t="n">
        <x:f>SUMIFS('Categorias'!$F$4:$F$1347,'Categorias'!$E$4:$E$1347,B136,'Categorias'!$A$4:$A$1347,E$3)</x:f>
        <x:v>5540</x:v>
      </x:c>
      <x:c r="F136" s="28" t="n">
        <x:f>SUMIFS('Categorias'!$F$4:$F$1347,'Categorias'!$E$4:$E$1347,B136,'Categorias'!$A$4:$A$1347,F$3)</x:f>
        <x:v>0</x:v>
      </x:c>
      <x:c r="G136" s="28" t="n">
        <x:f>SUMIFS('Categorias'!$F$4:$F$1347,'Categorias'!$E$4:$E$1347,B136,'Categorias'!$A$4:$A$1347,G$3)</x:f>
        <x:v>3790</x:v>
      </x:c>
      <x:c r="H136" s="28" t="n">
        <x:f>SUMIFS('Categorias'!$F$4:$F$1347,'Categorias'!$E$4:$E$1347,B136,'Categorias'!$A$4:$A$1347,H$3)</x:f>
        <x:v>6872</x:v>
      </x:c>
      <x:c r="I136" s="28" t="n">
        <x:f>SUMIFS('Categorias'!$F$4:$F$1347,'Categorias'!$E$4:$E$1347,B136,'Categorias'!$A$4:$A$1347,I$3)</x:f>
        <x:v>588</x:v>
      </x:c>
      <x:c r="J136" s="28" t="n">
        <x:f>SUMIFS('Categorias'!$F$4:$F$1347,'Categorias'!$E$4:$E$1347,B136,'Categorias'!$A$4:$A$1347,J$3)</x:f>
        <x:v>40179</x:v>
      </x:c>
      <x:c r="K136" s="28" t="n">
        <x:f>SUMIFS('Categorias'!$F$4:$F$1347,'Categorias'!$E$4:$E$1347,B136,'Categorias'!$A$4:$A$1347,K$3)</x:f>
        <x:v>0</x:v>
      </x:c>
      <x:c r="L136" s="28" t="n">
        <x:f>SUMIFS('Categorias'!$F$4:$F$1347,'Categorias'!$E$4:$E$1347,B136,'Categorias'!$A$4:$A$1347,L$3)</x:f>
        <x:v>66</x:v>
      </x:c>
      <x:c r="M136" s="28" t="n">
        <x:f>SUMIFS('Categorias'!$F$4:$F$1347,'Categorias'!$E$4:$E$1347,B136,'Categorias'!$A$4:$A$1347,M$3)</x:f>
        <x:v>0</x:v>
      </x:c>
      <x:c r="N136" s="47" t="n">
        <x:f>SUMIFS('Categorias'!$F$4:$F$1347,'Categorias'!$E$4:$E$1347,B136,'Categorias'!$A$4:$A$1347,N$3)</x:f>
        <x:v>0</x:v>
      </x:c>
    </x:row>
    <x:row r="137">
      <x:c r="A137" s="39" t="n">
        <x:f>RANK.EQ(C137,$C$4:$C$273,0)</x:f>
        <x:v>134</x:v>
      </x:c>
      <x:c r="B137" s="40" t="str">
        <x:v>Mavin</x:v>
      </x:c>
      <x:c r="C137" s="28" t="n">
        <x:f>SUMIF('Categorias'!$E$4:$E$1347,B137,'Categorias'!$F$4:$F$1347)</x:f>
        <x:v>188727</x:v>
      </x:c>
      <x:c r="D137" s="28" t="n">
        <x:f>SUMIFS('Categorias'!$F$4:$F$1347,'Categorias'!$E$4:$E$1347,B137,'Categorias'!$A$4:$A$1347,D$3)</x:f>
        <x:v>143718</x:v>
      </x:c>
      <x:c r="E137" s="28" t="n">
        <x:f>SUMIFS('Categorias'!$F$4:$F$1347,'Categorias'!$E$4:$E$1347,B137,'Categorias'!$A$4:$A$1347,E$3)</x:f>
        <x:v>1729</x:v>
      </x:c>
      <x:c r="F137" s="28" t="n">
        <x:f>SUMIFS('Categorias'!$F$4:$F$1347,'Categorias'!$E$4:$E$1347,B137,'Categorias'!$A$4:$A$1347,F$3)</x:f>
        <x:v>14930</x:v>
      </x:c>
      <x:c r="G137" s="28" t="n">
        <x:f>SUMIFS('Categorias'!$F$4:$F$1347,'Categorias'!$E$4:$E$1347,B137,'Categorias'!$A$4:$A$1347,G$3)</x:f>
        <x:v>6064</x:v>
      </x:c>
      <x:c r="H137" s="28" t="n">
        <x:f>SUMIFS('Categorias'!$F$4:$F$1347,'Categorias'!$E$4:$E$1347,B137,'Categorias'!$A$4:$A$1347,H$3)</x:f>
        <x:v>8974</x:v>
      </x:c>
      <x:c r="I137" s="28" t="n">
        <x:f>SUMIFS('Categorias'!$F$4:$F$1347,'Categorias'!$E$4:$E$1347,B137,'Categorias'!$A$4:$A$1347,I$3)</x:f>
        <x:v>5125</x:v>
      </x:c>
      <x:c r="J137" s="28" t="n">
        <x:f>SUMIFS('Categorias'!$F$4:$F$1347,'Categorias'!$E$4:$E$1347,B137,'Categorias'!$A$4:$A$1347,J$3)</x:f>
        <x:v>8187</x:v>
      </x:c>
      <x:c r="K137" s="28" t="n">
        <x:f>SUMIFS('Categorias'!$F$4:$F$1347,'Categorias'!$E$4:$E$1347,B137,'Categorias'!$A$4:$A$1347,K$3)</x:f>
        <x:v>0</x:v>
      </x:c>
      <x:c r="L137" s="28" t="n">
        <x:f>SUMIFS('Categorias'!$F$4:$F$1347,'Categorias'!$E$4:$E$1347,B137,'Categorias'!$A$4:$A$1347,L$3)</x:f>
        <x:v>0</x:v>
      </x:c>
      <x:c r="M137" s="28" t="n">
        <x:f>SUMIFS('Categorias'!$F$4:$F$1347,'Categorias'!$E$4:$E$1347,B137,'Categorias'!$A$4:$A$1347,M$3)</x:f>
        <x:v>0</x:v>
      </x:c>
      <x:c r="N137" s="47" t="n">
        <x:f>SUMIFS('Categorias'!$F$4:$F$1347,'Categorias'!$E$4:$E$1347,B137,'Categorias'!$A$4:$A$1347,N$3)</x:f>
        <x:v>0</x:v>
      </x:c>
    </x:row>
    <x:row r="138">
      <x:c r="A138" s="39" t="n">
        <x:f>RANK.EQ(C138,$C$4:$C$273,0)</x:f>
        <x:v>135</x:v>
      </x:c>
      <x:c r="B138" s="40" t="str">
        <x:v>CunaPrata</x:v>
      </x:c>
      <x:c r="C138" s="28" t="n">
        <x:f>SUMIF('Categorias'!$E$4:$E$1347,B138,'Categorias'!$F$4:$F$1347)</x:f>
        <x:v>184565</x:v>
      </x:c>
      <x:c r="D138" s="28" t="n">
        <x:f>SUMIFS('Categorias'!$F$4:$F$1347,'Categorias'!$E$4:$E$1347,B138,'Categorias'!$A$4:$A$1347,D$3)</x:f>
        <x:v>143063</x:v>
      </x:c>
      <x:c r="E138" s="28" t="n">
        <x:f>SUMIFS('Categorias'!$F$4:$F$1347,'Categorias'!$E$4:$E$1347,B138,'Categorias'!$A$4:$A$1347,E$3)</x:f>
        <x:v>7640</x:v>
      </x:c>
      <x:c r="F138" s="28" t="n">
        <x:f>SUMIFS('Categorias'!$F$4:$F$1347,'Categorias'!$E$4:$E$1347,B138,'Categorias'!$A$4:$A$1347,F$3)</x:f>
        <x:v>0</x:v>
      </x:c>
      <x:c r="G138" s="28" t="n">
        <x:f>SUMIFS('Categorias'!$F$4:$F$1347,'Categorias'!$E$4:$E$1347,B138,'Categorias'!$A$4:$A$1347,G$3)</x:f>
        <x:v>1895</x:v>
      </x:c>
      <x:c r="H138" s="28" t="n">
        <x:f>SUMIFS('Categorias'!$F$4:$F$1347,'Categorias'!$E$4:$E$1347,B138,'Categorias'!$A$4:$A$1347,H$3)</x:f>
        <x:v>8120</x:v>
      </x:c>
      <x:c r="I138" s="28" t="n">
        <x:f>SUMIFS('Categorias'!$F$4:$F$1347,'Categorias'!$E$4:$E$1347,B138,'Categorias'!$A$4:$A$1347,I$3)</x:f>
        <x:v>1888</x:v>
      </x:c>
      <x:c r="J138" s="28" t="n">
        <x:f>SUMIFS('Categorias'!$F$4:$F$1347,'Categorias'!$E$4:$E$1347,B138,'Categorias'!$A$4:$A$1347,J$3)</x:f>
        <x:v>12762</x:v>
      </x:c>
      <x:c r="K138" s="28" t="n">
        <x:f>SUMIFS('Categorias'!$F$4:$F$1347,'Categorias'!$E$4:$E$1347,B138,'Categorias'!$A$4:$A$1347,K$3)</x:f>
        <x:v>0</x:v>
      </x:c>
      <x:c r="L138" s="28" t="n">
        <x:f>SUMIFS('Categorias'!$F$4:$F$1347,'Categorias'!$E$4:$E$1347,B138,'Categorias'!$A$4:$A$1347,L$3)</x:f>
        <x:v>0</x:v>
      </x:c>
      <x:c r="M138" s="28" t="n">
        <x:f>SUMIFS('Categorias'!$F$4:$F$1347,'Categorias'!$E$4:$E$1347,B138,'Categorias'!$A$4:$A$1347,M$3)</x:f>
        <x:v>0</x:v>
      </x:c>
      <x:c r="N138" s="47" t="n">
        <x:f>SUMIFS('Categorias'!$F$4:$F$1347,'Categorias'!$E$4:$E$1347,B138,'Categorias'!$A$4:$A$1347,N$3)</x:f>
        <x:v>9197</x:v>
      </x:c>
    </x:row>
    <x:row r="139">
      <x:c r="A139" s="39" t="n">
        <x:f>RANK.EQ(C139,$C$4:$C$273,0)</x:f>
        <x:v>136</x:v>
      </x:c>
      <x:c r="B139" s="40" t="str">
        <x:v>NevesXC</x:v>
      </x:c>
      <x:c r="C139" s="28" t="n">
        <x:f>SUMIF('Categorias'!$E$4:$E$1347,B139,'Categorias'!$F$4:$F$1347)</x:f>
        <x:v>183537</x:v>
      </x:c>
      <x:c r="D139" s="28" t="n">
        <x:f>SUMIFS('Categorias'!$F$4:$F$1347,'Categorias'!$E$4:$E$1347,B139,'Categorias'!$A$4:$A$1347,D$3)</x:f>
        <x:v>158792</x:v>
      </x:c>
      <x:c r="E139" s="28" t="n">
        <x:f>SUMIFS('Categorias'!$F$4:$F$1347,'Categorias'!$E$4:$E$1347,B139,'Categorias'!$A$4:$A$1347,E$3)</x:f>
        <x:v>6429</x:v>
      </x:c>
      <x:c r="F139" s="28" t="n">
        <x:f>SUMIFS('Categorias'!$F$4:$F$1347,'Categorias'!$E$4:$E$1347,B139,'Categorias'!$A$4:$A$1347,F$3)</x:f>
        <x:v>0</x:v>
      </x:c>
      <x:c r="G139" s="28" t="n">
        <x:f>SUMIFS('Categorias'!$F$4:$F$1347,'Categorias'!$E$4:$E$1347,B139,'Categorias'!$A$4:$A$1347,G$3)</x:f>
        <x:v>0</x:v>
      </x:c>
      <x:c r="H139" s="28" t="n">
        <x:f>SUMIFS('Categorias'!$F$4:$F$1347,'Categorias'!$E$4:$E$1347,B139,'Categorias'!$A$4:$A$1347,H$3)</x:f>
        <x:v>0</x:v>
      </x:c>
      <x:c r="I139" s="28" t="n">
        <x:f>SUMIFS('Categorias'!$F$4:$F$1347,'Categorias'!$E$4:$E$1347,B139,'Categorias'!$A$4:$A$1347,I$3)</x:f>
        <x:v>194</x:v>
      </x:c>
      <x:c r="J139" s="28" t="n">
        <x:f>SUMIFS('Categorias'!$F$4:$F$1347,'Categorias'!$E$4:$E$1347,B139,'Categorias'!$A$4:$A$1347,J$3)</x:f>
        <x:v>0</x:v>
      </x:c>
      <x:c r="K139" s="28" t="n">
        <x:f>SUMIFS('Categorias'!$F$4:$F$1347,'Categorias'!$E$4:$E$1347,B139,'Categorias'!$A$4:$A$1347,K$3)</x:f>
        <x:v>0</x:v>
      </x:c>
      <x:c r="L139" s="28" t="n">
        <x:f>SUMIFS('Categorias'!$F$4:$F$1347,'Categorias'!$E$4:$E$1347,B139,'Categorias'!$A$4:$A$1347,L$3)</x:f>
        <x:v>0</x:v>
      </x:c>
      <x:c r="M139" s="28" t="n">
        <x:f>SUMIFS('Categorias'!$F$4:$F$1347,'Categorias'!$E$4:$E$1347,B139,'Categorias'!$A$4:$A$1347,M$3)</x:f>
        <x:v>0</x:v>
      </x:c>
      <x:c r="N139" s="47" t="n">
        <x:f>SUMIFS('Categorias'!$F$4:$F$1347,'Categorias'!$E$4:$E$1347,B139,'Categorias'!$A$4:$A$1347,N$3)</x:f>
        <x:v>0</x:v>
      </x:c>
    </x:row>
    <x:row r="140">
      <x:c r="A140" s="39" t="n">
        <x:f>RANK.EQ(C140,$C$4:$C$273,0)</x:f>
        <x:v>137</x:v>
      </x:c>
      <x:c r="B140" s="40" t="str">
        <x:v>Hlinha</x:v>
      </x:c>
      <x:c r="C140" s="28" t="n">
        <x:f>SUMIF('Categorias'!$E$4:$E$1347,B140,'Categorias'!$F$4:$F$1347)</x:f>
        <x:v>181328</x:v>
      </x:c>
      <x:c r="D140" s="28" t="n">
        <x:f>SUMIFS('Categorias'!$F$4:$F$1347,'Categorias'!$E$4:$E$1347,B140,'Categorias'!$A$4:$A$1347,D$3)</x:f>
        <x:v>130398</x:v>
      </x:c>
      <x:c r="E140" s="28" t="n">
        <x:f>SUMIFS('Categorias'!$F$4:$F$1347,'Categorias'!$E$4:$E$1347,B140,'Categorias'!$A$4:$A$1347,E$3)</x:f>
        <x:v>16908</x:v>
      </x:c>
      <x:c r="F140" s="28" t="n">
        <x:f>SUMIFS('Categorias'!$F$4:$F$1347,'Categorias'!$E$4:$E$1347,B140,'Categorias'!$A$4:$A$1347,F$3)</x:f>
        <x:v>0</x:v>
      </x:c>
      <x:c r="G140" s="28" t="n">
        <x:f>SUMIFS('Categorias'!$F$4:$F$1347,'Categorias'!$E$4:$E$1347,B140,'Categorias'!$A$4:$A$1347,G$3)</x:f>
        <x:v>15161</x:v>
      </x:c>
      <x:c r="H140" s="28" t="n">
        <x:f>SUMIFS('Categorias'!$F$4:$F$1347,'Categorias'!$E$4:$E$1347,B140,'Categorias'!$A$4:$A$1347,H$3)</x:f>
        <x:v>6534</x:v>
      </x:c>
      <x:c r="I140" s="28" t="n">
        <x:f>SUMIFS('Categorias'!$F$4:$F$1347,'Categorias'!$E$4:$E$1347,B140,'Categorias'!$A$4:$A$1347,I$3)</x:f>
        <x:v>2032</x:v>
      </x:c>
      <x:c r="J140" s="28" t="n">
        <x:f>SUMIFS('Categorias'!$F$4:$F$1347,'Categorias'!$E$4:$E$1347,B140,'Categorias'!$A$4:$A$1347,J$3)</x:f>
        <x:v>2219</x:v>
      </x:c>
      <x:c r="K140" s="28" t="n">
        <x:f>SUMIFS('Categorias'!$F$4:$F$1347,'Categorias'!$E$4:$E$1347,B140,'Categorias'!$A$4:$A$1347,K$3)</x:f>
        <x:v>0</x:v>
      </x:c>
      <x:c r="L140" s="28" t="n">
        <x:f>SUMIFS('Categorias'!$F$4:$F$1347,'Categorias'!$E$4:$E$1347,B140,'Categorias'!$A$4:$A$1347,L$3)</x:f>
        <x:v>0</x:v>
      </x:c>
      <x:c r="M140" s="28" t="n">
        <x:f>SUMIFS('Categorias'!$F$4:$F$1347,'Categorias'!$E$4:$E$1347,B140,'Categorias'!$A$4:$A$1347,M$3)</x:f>
        <x:v>0</x:v>
      </x:c>
      <x:c r="N140" s="47" t="n">
        <x:f>SUMIFS('Categorias'!$F$4:$F$1347,'Categorias'!$E$4:$E$1347,B140,'Categorias'!$A$4:$A$1347,N$3)</x:f>
        <x:v>8076</x:v>
      </x:c>
    </x:row>
    <x:row r="141">
      <x:c r="A141" s="39" t="n">
        <x:f>RANK.EQ(C141,$C$4:$C$273,0)</x:f>
        <x:v>138</x:v>
      </x:c>
      <x:c r="B141" s="40" t="str">
        <x:v>Imortal</x:v>
      </x:c>
      <x:c r="C141" s="28" t="n">
        <x:f>SUMIF('Categorias'!$E$4:$E$1347,B141,'Categorias'!$F$4:$F$1347)</x:f>
        <x:v>178364</x:v>
      </x:c>
      <x:c r="D141" s="28" t="n">
        <x:f>SUMIFS('Categorias'!$F$4:$F$1347,'Categorias'!$E$4:$E$1347,B141,'Categorias'!$A$4:$A$1347,D$3)</x:f>
        <x:v>141197</x:v>
      </x:c>
      <x:c r="E141" s="28" t="n">
        <x:f>SUMIFS('Categorias'!$F$4:$F$1347,'Categorias'!$E$4:$E$1347,B141,'Categorias'!$A$4:$A$1347,E$3)</x:f>
        <x:v>17894</x:v>
      </x:c>
      <x:c r="F141" s="28" t="n">
        <x:f>SUMIFS('Categorias'!$F$4:$F$1347,'Categorias'!$E$4:$E$1347,B141,'Categorias'!$A$4:$A$1347,F$3)</x:f>
        <x:v>0</x:v>
      </x:c>
      <x:c r="G141" s="28" t="n">
        <x:f>SUMIFS('Categorias'!$F$4:$F$1347,'Categorias'!$E$4:$E$1347,B141,'Categorias'!$A$4:$A$1347,G$3)</x:f>
        <x:v>0</x:v>
      </x:c>
      <x:c r="H141" s="28" t="n">
        <x:f>SUMIFS('Categorias'!$F$4:$F$1347,'Categorias'!$E$4:$E$1347,B141,'Categorias'!$A$4:$A$1347,H$3)</x:f>
        <x:v>2703</x:v>
      </x:c>
      <x:c r="I141" s="28" t="n">
        <x:f>SUMIFS('Categorias'!$F$4:$F$1347,'Categorias'!$E$4:$E$1347,B141,'Categorias'!$A$4:$A$1347,I$3)</x:f>
        <x:v>1314</x:v>
      </x:c>
      <x:c r="J141" s="28" t="n">
        <x:f>SUMIFS('Categorias'!$F$4:$F$1347,'Categorias'!$E$4:$E$1347,B141,'Categorias'!$A$4:$A$1347,J$3)</x:f>
        <x:v>15256</x:v>
      </x:c>
      <x:c r="K141" s="28" t="n">
        <x:f>SUMIFS('Categorias'!$F$4:$F$1347,'Categorias'!$E$4:$E$1347,B141,'Categorias'!$A$4:$A$1347,K$3)</x:f>
        <x:v>0</x:v>
      </x:c>
      <x:c r="L141" s="28" t="n">
        <x:f>SUMIFS('Categorias'!$F$4:$F$1347,'Categorias'!$E$4:$E$1347,B141,'Categorias'!$A$4:$A$1347,L$3)</x:f>
        <x:v>0</x:v>
      </x:c>
      <x:c r="M141" s="28" t="n">
        <x:f>SUMIFS('Categorias'!$F$4:$F$1347,'Categorias'!$E$4:$E$1347,B141,'Categorias'!$A$4:$A$1347,M$3)</x:f>
        <x:v>0</x:v>
      </x:c>
      <x:c r="N141" s="47" t="n">
        <x:f>SUMIFS('Categorias'!$F$4:$F$1347,'Categorias'!$E$4:$E$1347,B141,'Categorias'!$A$4:$A$1347,N$3)</x:f>
        <x:v>0</x:v>
      </x:c>
    </x:row>
    <x:row r="142">
      <x:c r="A142" s="39" t="n">
        <x:f>RANK.EQ(C142,$C$4:$C$273,0)</x:f>
        <x:v>139</x:v>
      </x:c>
      <x:c r="B142" s="40" t="str">
        <x:v>dudugamexd43</x:v>
      </x:c>
      <x:c r="C142" s="28" t="n">
        <x:f>SUMIF('Categorias'!$E$4:$E$1347,B142,'Categorias'!$F$4:$F$1347)</x:f>
        <x:v>172431</x:v>
      </x:c>
      <x:c r="D142" s="28" t="n">
        <x:f>SUMIFS('Categorias'!$F$4:$F$1347,'Categorias'!$E$4:$E$1347,B142,'Categorias'!$A$4:$A$1347,D$3)</x:f>
        <x:v>161974</x:v>
      </x:c>
      <x:c r="E142" s="28" t="n">
        <x:f>SUMIFS('Categorias'!$F$4:$F$1347,'Categorias'!$E$4:$E$1347,B142,'Categorias'!$A$4:$A$1347,E$3)</x:f>
        <x:v>2546</x:v>
      </x:c>
      <x:c r="F142" s="28" t="n">
        <x:f>SUMIFS('Categorias'!$F$4:$F$1347,'Categorias'!$E$4:$E$1347,B142,'Categorias'!$A$4:$A$1347,F$3)</x:f>
        <x:v>0</x:v>
      </x:c>
      <x:c r="G142" s="28" t="n">
        <x:f>SUMIFS('Categorias'!$F$4:$F$1347,'Categorias'!$E$4:$E$1347,B142,'Categorias'!$A$4:$A$1347,G$3)</x:f>
        <x:v>0</x:v>
      </x:c>
      <x:c r="H142" s="28" t="n">
        <x:f>SUMIFS('Categorias'!$F$4:$F$1347,'Categorias'!$E$4:$E$1347,B142,'Categorias'!$A$4:$A$1347,H$3)</x:f>
        <x:v>5367</x:v>
      </x:c>
      <x:c r="I142" s="28" t="n">
        <x:f>SUMIFS('Categorias'!$F$4:$F$1347,'Categorias'!$E$4:$E$1347,B142,'Categorias'!$A$4:$A$1347,I$3)</x:f>
        <x:v>0</x:v>
      </x:c>
      <x:c r="J142" s="28" t="n">
        <x:f>SUMIFS('Categorias'!$F$4:$F$1347,'Categorias'!$E$4:$E$1347,B142,'Categorias'!$A$4:$A$1347,J$3)</x:f>
        <x:v>2492</x:v>
      </x:c>
      <x:c r="K142" s="28" t="n">
        <x:f>SUMIFS('Categorias'!$F$4:$F$1347,'Categorias'!$E$4:$E$1347,B142,'Categorias'!$A$4:$A$1347,K$3)</x:f>
        <x:v>0</x:v>
      </x:c>
      <x:c r="L142" s="28" t="n">
        <x:f>SUMIFS('Categorias'!$F$4:$F$1347,'Categorias'!$E$4:$E$1347,B142,'Categorias'!$A$4:$A$1347,L$3)</x:f>
        <x:v>52</x:v>
      </x:c>
      <x:c r="M142" s="28" t="n">
        <x:f>SUMIFS('Categorias'!$F$4:$F$1347,'Categorias'!$E$4:$E$1347,B142,'Categorias'!$A$4:$A$1347,M$3)</x:f>
        <x:v>0</x:v>
      </x:c>
      <x:c r="N142" s="47" t="n">
        <x:f>SUMIFS('Categorias'!$F$4:$F$1347,'Categorias'!$E$4:$E$1347,B142,'Categorias'!$A$4:$A$1347,N$3)</x:f>
        <x:v>0</x:v>
      </x:c>
    </x:row>
    <x:row r="143">
      <x:c r="A143" s="39" t="n">
        <x:f>RANK.EQ(C143,$C$4:$C$273,0)</x:f>
        <x:v>140</x:v>
      </x:c>
      <x:c r="B143" s="40" t="str">
        <x:v>Davllmix</x:v>
      </x:c>
      <x:c r="C143" s="28" t="n">
        <x:f>SUMIF('Categorias'!$E$4:$E$1347,B143,'Categorias'!$F$4:$F$1347)</x:f>
        <x:v>172149</x:v>
      </x:c>
      <x:c r="D143" s="28" t="n">
        <x:f>SUMIFS('Categorias'!$F$4:$F$1347,'Categorias'!$E$4:$E$1347,B143,'Categorias'!$A$4:$A$1347,D$3)</x:f>
        <x:v>139815</x:v>
      </x:c>
      <x:c r="E143" s="28" t="n">
        <x:f>SUMIFS('Categorias'!$F$4:$F$1347,'Categorias'!$E$4:$E$1347,B143,'Categorias'!$A$4:$A$1347,E$3)</x:f>
        <x:v>20739</x:v>
      </x:c>
      <x:c r="F143" s="28" t="n">
        <x:f>SUMIFS('Categorias'!$F$4:$F$1347,'Categorias'!$E$4:$E$1347,B143,'Categorias'!$A$4:$A$1347,F$3)</x:f>
        <x:v>0</x:v>
      </x:c>
      <x:c r="G143" s="28" t="n">
        <x:f>SUMIFS('Categorias'!$F$4:$F$1347,'Categorias'!$E$4:$E$1347,B143,'Categorias'!$A$4:$A$1347,G$3)</x:f>
        <x:v>0</x:v>
      </x:c>
      <x:c r="H143" s="28" t="n">
        <x:f>SUMIFS('Categorias'!$F$4:$F$1347,'Categorias'!$E$4:$E$1347,B143,'Categorias'!$A$4:$A$1347,H$3)</x:f>
        <x:v>7152</x:v>
      </x:c>
      <x:c r="I143" s="28" t="n">
        <x:f>SUMIFS('Categorias'!$F$4:$F$1347,'Categorias'!$E$4:$E$1347,B143,'Categorias'!$A$4:$A$1347,I$3)</x:f>
        <x:v>977</x:v>
      </x:c>
      <x:c r="J143" s="28" t="n">
        <x:f>SUMIFS('Categorias'!$F$4:$F$1347,'Categorias'!$E$4:$E$1347,B143,'Categorias'!$A$4:$A$1347,J$3)</x:f>
        <x:v>3466</x:v>
      </x:c>
      <x:c r="K143" s="28" t="n">
        <x:f>SUMIFS('Categorias'!$F$4:$F$1347,'Categorias'!$E$4:$E$1347,B143,'Categorias'!$A$4:$A$1347,K$3)</x:f>
        <x:v>0</x:v>
      </x:c>
      <x:c r="L143" s="28" t="n">
        <x:f>SUMIFS('Categorias'!$F$4:$F$1347,'Categorias'!$E$4:$E$1347,B143,'Categorias'!$A$4:$A$1347,L$3)</x:f>
        <x:v>0</x:v>
      </x:c>
      <x:c r="M143" s="28" t="n">
        <x:f>SUMIFS('Categorias'!$F$4:$F$1347,'Categorias'!$E$4:$E$1347,B143,'Categorias'!$A$4:$A$1347,M$3)</x:f>
        <x:v>0</x:v>
      </x:c>
      <x:c r="N143" s="47" t="n">
        <x:f>SUMIFS('Categorias'!$F$4:$F$1347,'Categorias'!$E$4:$E$1347,B143,'Categorias'!$A$4:$A$1347,N$3)</x:f>
        <x:v>0</x:v>
      </x:c>
    </x:row>
    <x:row r="144">
      <x:c r="A144" s="39" t="n">
        <x:f>RANK.EQ(C144,$C$4:$C$273,0)</x:f>
        <x:v>141</x:v>
      </x:c>
      <x:c r="B144" s="40" t="str">
        <x:v>nito19</x:v>
      </x:c>
      <x:c r="C144" s="28" t="n">
        <x:f>SUMIF('Categorias'!$E$4:$E$1347,B144,'Categorias'!$F$4:$F$1347)</x:f>
        <x:v>170635</x:v>
      </x:c>
      <x:c r="D144" s="28" t="n">
        <x:f>SUMIFS('Categorias'!$F$4:$F$1347,'Categorias'!$E$4:$E$1347,B144,'Categorias'!$A$4:$A$1347,D$3)</x:f>
        <x:v>156797</x:v>
      </x:c>
      <x:c r="E144" s="28" t="n">
        <x:f>SUMIFS('Categorias'!$F$4:$F$1347,'Categorias'!$E$4:$E$1347,B144,'Categorias'!$A$4:$A$1347,E$3)</x:f>
        <x:v>2931</x:v>
      </x:c>
      <x:c r="F144" s="28" t="n">
        <x:f>SUMIFS('Categorias'!$F$4:$F$1347,'Categorias'!$E$4:$E$1347,B144,'Categorias'!$A$4:$A$1347,F$3)</x:f>
        <x:v>0</x:v>
      </x:c>
      <x:c r="G144" s="28" t="n">
        <x:f>SUMIFS('Categorias'!$F$4:$F$1347,'Categorias'!$E$4:$E$1347,B144,'Categorias'!$A$4:$A$1347,G$3)</x:f>
        <x:v>5279</x:v>
      </x:c>
      <x:c r="H144" s="28" t="n">
        <x:f>SUMIFS('Categorias'!$F$4:$F$1347,'Categorias'!$E$4:$E$1347,B144,'Categorias'!$A$4:$A$1347,H$3)</x:f>
        <x:v>1647</x:v>
      </x:c>
      <x:c r="I144" s="28" t="n">
        <x:f>SUMIFS('Categorias'!$F$4:$F$1347,'Categorias'!$E$4:$E$1347,B144,'Categorias'!$A$4:$A$1347,I$3)</x:f>
        <x:v>0</x:v>
      </x:c>
      <x:c r="J144" s="28" t="n">
        <x:f>SUMIFS('Categorias'!$F$4:$F$1347,'Categorias'!$E$4:$E$1347,B144,'Categorias'!$A$4:$A$1347,J$3)</x:f>
        <x:v>3981</x:v>
      </x:c>
      <x:c r="K144" s="28" t="n">
        <x:f>SUMIFS('Categorias'!$F$4:$F$1347,'Categorias'!$E$4:$E$1347,B144,'Categorias'!$A$4:$A$1347,K$3)</x:f>
        <x:v>0</x:v>
      </x:c>
      <x:c r="L144" s="28" t="n">
        <x:f>SUMIFS('Categorias'!$F$4:$F$1347,'Categorias'!$E$4:$E$1347,B144,'Categorias'!$A$4:$A$1347,L$3)</x:f>
        <x:v>0</x:v>
      </x:c>
      <x:c r="M144" s="28" t="n">
        <x:f>SUMIFS('Categorias'!$F$4:$F$1347,'Categorias'!$E$4:$E$1347,B144,'Categorias'!$A$4:$A$1347,M$3)</x:f>
        <x:v>0</x:v>
      </x:c>
      <x:c r="N144" s="47" t="n">
        <x:f>SUMIFS('Categorias'!$F$4:$F$1347,'Categorias'!$E$4:$E$1347,B144,'Categorias'!$A$4:$A$1347,N$3)</x:f>
        <x:v>0</x:v>
      </x:c>
    </x:row>
    <x:row r="145">
      <x:c r="A145" s="39" t="n">
        <x:f>RANK.EQ(C145,$C$4:$C$273,0)</x:f>
        <x:v>142</x:v>
      </x:c>
      <x:c r="B145" s="40" t="str">
        <x:v>GlitterGold</x:v>
      </x:c>
      <x:c r="C145" s="28" t="n">
        <x:f>SUMIF('Categorias'!$E$4:$E$1347,B145,'Categorias'!$F$4:$F$1347)</x:f>
        <x:v>161293</x:v>
      </x:c>
      <x:c r="D145" s="28" t="n">
        <x:f>SUMIFS('Categorias'!$F$4:$F$1347,'Categorias'!$E$4:$E$1347,B145,'Categorias'!$A$4:$A$1347,D$3)</x:f>
        <x:v>159073</x:v>
      </x:c>
      <x:c r="E145" s="28" t="n">
        <x:f>SUMIFS('Categorias'!$F$4:$F$1347,'Categorias'!$E$4:$E$1347,B145,'Categorias'!$A$4:$A$1347,E$3)</x:f>
        <x:v>2128</x:v>
      </x:c>
      <x:c r="F145" s="28" t="n">
        <x:f>SUMIFS('Categorias'!$F$4:$F$1347,'Categorias'!$E$4:$E$1347,B145,'Categorias'!$A$4:$A$1347,F$3)</x:f>
        <x:v>0</x:v>
      </x:c>
      <x:c r="G145" s="28" t="n">
        <x:f>SUMIFS('Categorias'!$F$4:$F$1347,'Categorias'!$E$4:$E$1347,B145,'Categorias'!$A$4:$A$1347,G$3)</x:f>
        <x:v>0</x:v>
      </x:c>
      <x:c r="H145" s="28" t="n">
        <x:f>SUMIFS('Categorias'!$F$4:$F$1347,'Categorias'!$E$4:$E$1347,B145,'Categorias'!$A$4:$A$1347,H$3)</x:f>
        <x:v>0</x:v>
      </x:c>
      <x:c r="I145" s="28" t="n">
        <x:f>SUMIFS('Categorias'!$F$4:$F$1347,'Categorias'!$E$4:$E$1347,B145,'Categorias'!$A$4:$A$1347,I$3)</x:f>
        <x:v>92</x:v>
      </x:c>
      <x:c r="J145" s="28" t="n">
        <x:f>SUMIFS('Categorias'!$F$4:$F$1347,'Categorias'!$E$4:$E$1347,B145,'Categorias'!$A$4:$A$1347,J$3)</x:f>
        <x:v>0</x:v>
      </x:c>
      <x:c r="K145" s="28" t="n">
        <x:f>SUMIFS('Categorias'!$F$4:$F$1347,'Categorias'!$E$4:$E$1347,B145,'Categorias'!$A$4:$A$1347,K$3)</x:f>
        <x:v>0</x:v>
      </x:c>
      <x:c r="L145" s="28" t="n">
        <x:f>SUMIFS('Categorias'!$F$4:$F$1347,'Categorias'!$E$4:$E$1347,B145,'Categorias'!$A$4:$A$1347,L$3)</x:f>
        <x:v>0</x:v>
      </x:c>
      <x:c r="M145" s="28" t="n">
        <x:f>SUMIFS('Categorias'!$F$4:$F$1347,'Categorias'!$E$4:$E$1347,B145,'Categorias'!$A$4:$A$1347,M$3)</x:f>
        <x:v>0</x:v>
      </x:c>
      <x:c r="N145" s="47" t="n">
        <x:f>SUMIFS('Categorias'!$F$4:$F$1347,'Categorias'!$E$4:$E$1347,B145,'Categorias'!$A$4:$A$1347,N$3)</x:f>
        <x:v>0</x:v>
      </x:c>
    </x:row>
    <x:row r="146">
      <x:c r="A146" s="39" t="n">
        <x:f>RANK.EQ(C146,$C$4:$C$273,0)</x:f>
        <x:v>143</x:v>
      </x:c>
      <x:c r="B146" s="40" t="str">
        <x:v>2PowerGiat</x:v>
      </x:c>
      <x:c r="C146" s="28" t="n">
        <x:f>SUMIF('Categorias'!$E$4:$E$1347,B146,'Categorias'!$F$4:$F$1347)</x:f>
        <x:v>154874</x:v>
      </x:c>
      <x:c r="D146" s="28" t="n">
        <x:f>SUMIFS('Categorias'!$F$4:$F$1347,'Categorias'!$E$4:$E$1347,B146,'Categorias'!$A$4:$A$1347,D$3)</x:f>
        <x:v>133289</x:v>
      </x:c>
      <x:c r="E146" s="28" t="n">
        <x:f>SUMIFS('Categorias'!$F$4:$F$1347,'Categorias'!$E$4:$E$1347,B146,'Categorias'!$A$4:$A$1347,E$3)</x:f>
        <x:v>15225</x:v>
      </x:c>
      <x:c r="F146" s="28" t="n">
        <x:f>SUMIFS('Categorias'!$F$4:$F$1347,'Categorias'!$E$4:$E$1347,B146,'Categorias'!$A$4:$A$1347,F$3)</x:f>
        <x:v>0</x:v>
      </x:c>
      <x:c r="G146" s="28" t="n">
        <x:f>SUMIFS('Categorias'!$F$4:$F$1347,'Categorias'!$E$4:$E$1347,B146,'Categorias'!$A$4:$A$1347,G$3)</x:f>
        <x:v>0</x:v>
      </x:c>
      <x:c r="H146" s="28" t="n">
        <x:f>SUMIFS('Categorias'!$F$4:$F$1347,'Categorias'!$E$4:$E$1347,B146,'Categorias'!$A$4:$A$1347,H$3)</x:f>
        <x:v>1421</x:v>
      </x:c>
      <x:c r="I146" s="28" t="n">
        <x:f>SUMIFS('Categorias'!$F$4:$F$1347,'Categorias'!$E$4:$E$1347,B146,'Categorias'!$A$4:$A$1347,I$3)</x:f>
        <x:v>722</x:v>
      </x:c>
      <x:c r="J146" s="28" t="n">
        <x:f>SUMIFS('Categorias'!$F$4:$F$1347,'Categorias'!$E$4:$E$1347,B146,'Categorias'!$A$4:$A$1347,J$3)</x:f>
        <x:v>3831</x:v>
      </x:c>
      <x:c r="K146" s="28" t="n">
        <x:f>SUMIFS('Categorias'!$F$4:$F$1347,'Categorias'!$E$4:$E$1347,B146,'Categorias'!$A$4:$A$1347,K$3)</x:f>
        <x:v>0</x:v>
      </x:c>
      <x:c r="L146" s="28" t="n">
        <x:f>SUMIFS('Categorias'!$F$4:$F$1347,'Categorias'!$E$4:$E$1347,B146,'Categorias'!$A$4:$A$1347,L$3)</x:f>
        <x:v>0</x:v>
      </x:c>
      <x:c r="M146" s="28" t="n">
        <x:f>SUMIFS('Categorias'!$F$4:$F$1347,'Categorias'!$E$4:$E$1347,B146,'Categorias'!$A$4:$A$1347,M$3)</x:f>
        <x:v>386</x:v>
      </x:c>
      <x:c r="N146" s="47" t="n">
        <x:f>SUMIFS('Categorias'!$F$4:$F$1347,'Categorias'!$E$4:$E$1347,B146,'Categorias'!$A$4:$A$1347,N$3)</x:f>
        <x:v>0</x:v>
      </x:c>
    </x:row>
    <x:row r="147">
      <x:c r="A147" s="39" t="n">
        <x:f>RANK.EQ(C147,$C$4:$C$273,0)</x:f>
        <x:v>144</x:v>
      </x:c>
      <x:c r="B147" s="40" t="str">
        <x:v>Superrr2855</x:v>
      </x:c>
      <x:c r="C147" s="28" t="n">
        <x:f>SUMIF('Categorias'!$E$4:$E$1347,B147,'Categorias'!$F$4:$F$1347)</x:f>
        <x:v>137985</x:v>
      </x:c>
      <x:c r="D147" s="28" t="n">
        <x:f>SUMIFS('Categorias'!$F$4:$F$1347,'Categorias'!$E$4:$E$1347,B147,'Categorias'!$A$4:$A$1347,D$3)</x:f>
        <x:v>103273</x:v>
      </x:c>
      <x:c r="E147" s="28" t="n">
        <x:f>SUMIFS('Categorias'!$F$4:$F$1347,'Categorias'!$E$4:$E$1347,B147,'Categorias'!$A$4:$A$1347,E$3)</x:f>
        <x:v>12604</x:v>
      </x:c>
      <x:c r="F147" s="28" t="n">
        <x:f>SUMIFS('Categorias'!$F$4:$F$1347,'Categorias'!$E$4:$E$1347,B147,'Categorias'!$A$4:$A$1347,F$3)</x:f>
        <x:v>0</x:v>
      </x:c>
      <x:c r="G147" s="28" t="n">
        <x:f>SUMIFS('Categorias'!$F$4:$F$1347,'Categorias'!$E$4:$E$1347,B147,'Categorias'!$A$4:$A$1347,G$3)</x:f>
        <x:v>0</x:v>
      </x:c>
      <x:c r="H147" s="28" t="n">
        <x:f>SUMIFS('Categorias'!$F$4:$F$1347,'Categorias'!$E$4:$E$1347,B147,'Categorias'!$A$4:$A$1347,H$3)</x:f>
        <x:v>3188</x:v>
      </x:c>
      <x:c r="I147" s="28" t="n">
        <x:f>SUMIFS('Categorias'!$F$4:$F$1347,'Categorias'!$E$4:$E$1347,B147,'Categorias'!$A$4:$A$1347,I$3)</x:f>
        <x:v>2257</x:v>
      </x:c>
      <x:c r="J147" s="28" t="n">
        <x:f>SUMIFS('Categorias'!$F$4:$F$1347,'Categorias'!$E$4:$E$1347,B147,'Categorias'!$A$4:$A$1347,J$3)</x:f>
        <x:v>16663</x:v>
      </x:c>
      <x:c r="K147" s="28" t="n">
        <x:f>SUMIFS('Categorias'!$F$4:$F$1347,'Categorias'!$E$4:$E$1347,B147,'Categorias'!$A$4:$A$1347,K$3)</x:f>
        <x:v>0</x:v>
      </x:c>
      <x:c r="L147" s="28" t="n">
        <x:f>SUMIFS('Categorias'!$F$4:$F$1347,'Categorias'!$E$4:$E$1347,B147,'Categorias'!$A$4:$A$1347,L$3)</x:f>
        <x:v>0</x:v>
      </x:c>
      <x:c r="M147" s="28" t="n">
        <x:f>SUMIFS('Categorias'!$F$4:$F$1347,'Categorias'!$E$4:$E$1347,B147,'Categorias'!$A$4:$A$1347,M$3)</x:f>
        <x:v>0</x:v>
      </x:c>
      <x:c r="N147" s="47" t="n">
        <x:f>SUMIFS('Categorias'!$F$4:$F$1347,'Categorias'!$E$4:$E$1347,B147,'Categorias'!$A$4:$A$1347,N$3)</x:f>
        <x:v>0</x:v>
      </x:c>
    </x:row>
    <x:row r="148">
      <x:c r="A148" s="39" t="n">
        <x:f>RANK.EQ(C148,$C$4:$C$273,0)</x:f>
        <x:v>145</x:v>
      </x:c>
      <x:c r="B148" s="40" t="str">
        <x:v>xKickout</x:v>
      </x:c>
      <x:c r="C148" s="28" t="n">
        <x:f>SUMIF('Categorias'!$E$4:$E$1347,B148,'Categorias'!$F$4:$F$1347)</x:f>
        <x:v>137344</x:v>
      </x:c>
      <x:c r="D148" s="28" t="n">
        <x:f>SUMIFS('Categorias'!$F$4:$F$1347,'Categorias'!$E$4:$E$1347,B148,'Categorias'!$A$4:$A$1347,D$3)</x:f>
        <x:v>137344</x:v>
      </x:c>
      <x:c r="E148" s="28" t="n">
        <x:f>SUMIFS('Categorias'!$F$4:$F$1347,'Categorias'!$E$4:$E$1347,B148,'Categorias'!$A$4:$A$1347,E$3)</x:f>
        <x:v>0</x:v>
      </x:c>
      <x:c r="F148" s="28" t="n">
        <x:f>SUMIFS('Categorias'!$F$4:$F$1347,'Categorias'!$E$4:$E$1347,B148,'Categorias'!$A$4:$A$1347,F$3)</x:f>
        <x:v>0</x:v>
      </x:c>
      <x:c r="G148" s="28" t="n">
        <x:f>SUMIFS('Categorias'!$F$4:$F$1347,'Categorias'!$E$4:$E$1347,B148,'Categorias'!$A$4:$A$1347,G$3)</x:f>
        <x:v>0</x:v>
      </x:c>
      <x:c r="H148" s="28" t="n">
        <x:f>SUMIFS('Categorias'!$F$4:$F$1347,'Categorias'!$E$4:$E$1347,B148,'Categorias'!$A$4:$A$1347,H$3)</x:f>
        <x:v>0</x:v>
      </x:c>
      <x:c r="I148" s="28" t="n">
        <x:f>SUMIFS('Categorias'!$F$4:$F$1347,'Categorias'!$E$4:$E$1347,B148,'Categorias'!$A$4:$A$1347,I$3)</x:f>
        <x:v>0</x:v>
      </x:c>
      <x:c r="J148" s="28" t="n">
        <x:f>SUMIFS('Categorias'!$F$4:$F$1347,'Categorias'!$E$4:$E$1347,B148,'Categorias'!$A$4:$A$1347,J$3)</x:f>
        <x:v>0</x:v>
      </x:c>
      <x:c r="K148" s="28" t="n">
        <x:f>SUMIFS('Categorias'!$F$4:$F$1347,'Categorias'!$E$4:$E$1347,B148,'Categorias'!$A$4:$A$1347,K$3)</x:f>
        <x:v>0</x:v>
      </x:c>
      <x:c r="L148" s="28" t="n">
        <x:f>SUMIFS('Categorias'!$F$4:$F$1347,'Categorias'!$E$4:$E$1347,B148,'Categorias'!$A$4:$A$1347,L$3)</x:f>
        <x:v>0</x:v>
      </x:c>
      <x:c r="M148" s="28" t="n">
        <x:f>SUMIFS('Categorias'!$F$4:$F$1347,'Categorias'!$E$4:$E$1347,B148,'Categorias'!$A$4:$A$1347,M$3)</x:f>
        <x:v>0</x:v>
      </x:c>
      <x:c r="N148" s="47" t="n">
        <x:f>SUMIFS('Categorias'!$F$4:$F$1347,'Categorias'!$E$4:$E$1347,B148,'Categorias'!$A$4:$A$1347,N$3)</x:f>
        <x:v>0</x:v>
      </x:c>
    </x:row>
    <x:row r="149">
      <x:c r="A149" s="39" t="n">
        <x:f>RANK.EQ(C149,$C$4:$C$273,0)</x:f>
        <x:v>146</x:v>
      </x:c>
      <x:c r="B149" s="40" t="str">
        <x:v>ViToR09</x:v>
      </x:c>
      <x:c r="C149" s="28" t="n">
        <x:f>SUMIF('Categorias'!$E$4:$E$1347,B149,'Categorias'!$F$4:$F$1347)</x:f>
        <x:v>132589</x:v>
      </x:c>
      <x:c r="D149" s="28" t="n">
        <x:f>SUMIFS('Categorias'!$F$4:$F$1347,'Categorias'!$E$4:$E$1347,B149,'Categorias'!$A$4:$A$1347,D$3)</x:f>
        <x:v>132589</x:v>
      </x:c>
      <x:c r="E149" s="28" t="n">
        <x:f>SUMIFS('Categorias'!$F$4:$F$1347,'Categorias'!$E$4:$E$1347,B149,'Categorias'!$A$4:$A$1347,E$3)</x:f>
        <x:v>0</x:v>
      </x:c>
      <x:c r="F149" s="28" t="n">
        <x:f>SUMIFS('Categorias'!$F$4:$F$1347,'Categorias'!$E$4:$E$1347,B149,'Categorias'!$A$4:$A$1347,F$3)</x:f>
        <x:v>0</x:v>
      </x:c>
      <x:c r="G149" s="28" t="n">
        <x:f>SUMIFS('Categorias'!$F$4:$F$1347,'Categorias'!$E$4:$E$1347,B149,'Categorias'!$A$4:$A$1347,G$3)</x:f>
        <x:v>0</x:v>
      </x:c>
      <x:c r="H149" s="28" t="n">
        <x:f>SUMIFS('Categorias'!$F$4:$F$1347,'Categorias'!$E$4:$E$1347,B149,'Categorias'!$A$4:$A$1347,H$3)</x:f>
        <x:v>0</x:v>
      </x:c>
      <x:c r="I149" s="28" t="n">
        <x:f>SUMIFS('Categorias'!$F$4:$F$1347,'Categorias'!$E$4:$E$1347,B149,'Categorias'!$A$4:$A$1347,I$3)</x:f>
        <x:v>0</x:v>
      </x:c>
      <x:c r="J149" s="28" t="n">
        <x:f>SUMIFS('Categorias'!$F$4:$F$1347,'Categorias'!$E$4:$E$1347,B149,'Categorias'!$A$4:$A$1347,J$3)</x:f>
        <x:v>0</x:v>
      </x:c>
      <x:c r="K149" s="28" t="n">
        <x:f>SUMIFS('Categorias'!$F$4:$F$1347,'Categorias'!$E$4:$E$1347,B149,'Categorias'!$A$4:$A$1347,K$3)</x:f>
        <x:v>0</x:v>
      </x:c>
      <x:c r="L149" s="28" t="n">
        <x:f>SUMIFS('Categorias'!$F$4:$F$1347,'Categorias'!$E$4:$E$1347,B149,'Categorias'!$A$4:$A$1347,L$3)</x:f>
        <x:v>0</x:v>
      </x:c>
      <x:c r="M149" s="28" t="n">
        <x:f>SUMIFS('Categorias'!$F$4:$F$1347,'Categorias'!$E$4:$E$1347,B149,'Categorias'!$A$4:$A$1347,M$3)</x:f>
        <x:v>0</x:v>
      </x:c>
      <x:c r="N149" s="47" t="n">
        <x:f>SUMIFS('Categorias'!$F$4:$F$1347,'Categorias'!$E$4:$E$1347,B149,'Categorias'!$A$4:$A$1347,N$3)</x:f>
        <x:v>0</x:v>
      </x:c>
    </x:row>
    <x:row r="150">
      <x:c r="A150" s="39" t="n">
        <x:f>RANK.EQ(C150,$C$4:$C$273,0)</x:f>
        <x:v>147</x:v>
      </x:c>
      <x:c r="B150" s="40" t="str">
        <x:v>Vr4L</x:v>
      </x:c>
      <x:c r="C150" s="28" t="n">
        <x:f>SUMIF('Categorias'!$E$4:$E$1347,B150,'Categorias'!$F$4:$F$1347)</x:f>
        <x:v>131448</x:v>
      </x:c>
      <x:c r="D150" s="28" t="n">
        <x:f>SUMIFS('Categorias'!$F$4:$F$1347,'Categorias'!$E$4:$E$1347,B150,'Categorias'!$A$4:$A$1347,D$3)</x:f>
        <x:v>127206</x:v>
      </x:c>
      <x:c r="E150" s="28" t="n">
        <x:f>SUMIFS('Categorias'!$F$4:$F$1347,'Categorias'!$E$4:$E$1347,B150,'Categorias'!$A$4:$A$1347,E$3)</x:f>
        <x:v>3685</x:v>
      </x:c>
      <x:c r="F150" s="28" t="n">
        <x:f>SUMIFS('Categorias'!$F$4:$F$1347,'Categorias'!$E$4:$E$1347,B150,'Categorias'!$A$4:$A$1347,F$3)</x:f>
        <x:v>0</x:v>
      </x:c>
      <x:c r="G150" s="28" t="n">
        <x:f>SUMIFS('Categorias'!$F$4:$F$1347,'Categorias'!$E$4:$E$1347,B150,'Categorias'!$A$4:$A$1347,G$3)</x:f>
        <x:v>0</x:v>
      </x:c>
      <x:c r="H150" s="28" t="n">
        <x:f>SUMIFS('Categorias'!$F$4:$F$1347,'Categorias'!$E$4:$E$1347,B150,'Categorias'!$A$4:$A$1347,H$3)</x:f>
        <x:v>417</x:v>
      </x:c>
      <x:c r="I150" s="28" t="n">
        <x:f>SUMIFS('Categorias'!$F$4:$F$1347,'Categorias'!$E$4:$E$1347,B150,'Categorias'!$A$4:$A$1347,I$3)</x:f>
        <x:v>0</x:v>
      </x:c>
      <x:c r="J150" s="28" t="n">
        <x:f>SUMIFS('Categorias'!$F$4:$F$1347,'Categorias'!$E$4:$E$1347,B150,'Categorias'!$A$4:$A$1347,J$3)</x:f>
        <x:v>0</x:v>
      </x:c>
      <x:c r="K150" s="28" t="n">
        <x:f>SUMIFS('Categorias'!$F$4:$F$1347,'Categorias'!$E$4:$E$1347,B150,'Categorias'!$A$4:$A$1347,K$3)</x:f>
        <x:v>0</x:v>
      </x:c>
      <x:c r="L150" s="28" t="n">
        <x:f>SUMIFS('Categorias'!$F$4:$F$1347,'Categorias'!$E$4:$E$1347,B150,'Categorias'!$A$4:$A$1347,L$3)</x:f>
        <x:v>140</x:v>
      </x:c>
      <x:c r="M150" s="28" t="n">
        <x:f>SUMIFS('Categorias'!$F$4:$F$1347,'Categorias'!$E$4:$E$1347,B150,'Categorias'!$A$4:$A$1347,M$3)</x:f>
        <x:v>0</x:v>
      </x:c>
      <x:c r="N150" s="47" t="n">
        <x:f>SUMIFS('Categorias'!$F$4:$F$1347,'Categorias'!$E$4:$E$1347,B150,'Categorias'!$A$4:$A$1347,N$3)</x:f>
        <x:v>0</x:v>
      </x:c>
    </x:row>
    <x:row r="151">
      <x:c r="A151" s="39" t="n">
        <x:f>RANK.EQ(C151,$C$4:$C$273,0)</x:f>
        <x:v>148</x:v>
      </x:c>
      <x:c r="B151" s="40" t="str">
        <x:v>BobBob</x:v>
      </x:c>
      <x:c r="C151" s="28" t="n">
        <x:f>SUMIF('Categorias'!$E$4:$E$1347,B151,'Categorias'!$F$4:$F$1347)</x:f>
        <x:v>130996</x:v>
      </x:c>
      <x:c r="D151" s="28" t="n">
        <x:f>SUMIFS('Categorias'!$F$4:$F$1347,'Categorias'!$E$4:$E$1347,B151,'Categorias'!$A$4:$A$1347,D$3)</x:f>
        <x:v>103632</x:v>
      </x:c>
      <x:c r="E151" s="28" t="n">
        <x:f>SUMIFS('Categorias'!$F$4:$F$1347,'Categorias'!$E$4:$E$1347,B151,'Categorias'!$A$4:$A$1347,E$3)</x:f>
        <x:v>6884</x:v>
      </x:c>
      <x:c r="F151" s="28" t="n">
        <x:f>SUMIFS('Categorias'!$F$4:$F$1347,'Categorias'!$E$4:$E$1347,B151,'Categorias'!$A$4:$A$1347,F$3)</x:f>
        <x:v>0</x:v>
      </x:c>
      <x:c r="G151" s="28" t="n">
        <x:f>SUMIFS('Categorias'!$F$4:$F$1347,'Categorias'!$E$4:$E$1347,B151,'Categorias'!$A$4:$A$1347,G$3)</x:f>
        <x:v>0</x:v>
      </x:c>
      <x:c r="H151" s="28" t="n">
        <x:f>SUMIFS('Categorias'!$F$4:$F$1347,'Categorias'!$E$4:$E$1347,B151,'Categorias'!$A$4:$A$1347,H$3)</x:f>
        <x:v>537</x:v>
      </x:c>
      <x:c r="I151" s="28" t="n">
        <x:f>SUMIFS('Categorias'!$F$4:$F$1347,'Categorias'!$E$4:$E$1347,B151,'Categorias'!$A$4:$A$1347,I$3)</x:f>
        <x:v>331</x:v>
      </x:c>
      <x:c r="J151" s="28" t="n">
        <x:f>SUMIFS('Categorias'!$F$4:$F$1347,'Categorias'!$E$4:$E$1347,B151,'Categorias'!$A$4:$A$1347,J$3)</x:f>
        <x:v>19612</x:v>
      </x:c>
      <x:c r="K151" s="28" t="n">
        <x:f>SUMIFS('Categorias'!$F$4:$F$1347,'Categorias'!$E$4:$E$1347,B151,'Categorias'!$A$4:$A$1347,K$3)</x:f>
        <x:v>0</x:v>
      </x:c>
      <x:c r="L151" s="28" t="n">
        <x:f>SUMIFS('Categorias'!$F$4:$F$1347,'Categorias'!$E$4:$E$1347,B151,'Categorias'!$A$4:$A$1347,L$3)</x:f>
        <x:v>0</x:v>
      </x:c>
      <x:c r="M151" s="28" t="n">
        <x:f>SUMIFS('Categorias'!$F$4:$F$1347,'Categorias'!$E$4:$E$1347,B151,'Categorias'!$A$4:$A$1347,M$3)</x:f>
        <x:v>0</x:v>
      </x:c>
      <x:c r="N151" s="47" t="n">
        <x:f>SUMIFS('Categorias'!$F$4:$F$1347,'Categorias'!$E$4:$E$1347,B151,'Categorias'!$A$4:$A$1347,N$3)</x:f>
        <x:v>0</x:v>
      </x:c>
    </x:row>
    <x:row r="152">
      <x:c r="A152" s="39" t="n">
        <x:f>RANK.EQ(C152,$C$4:$C$273,0)</x:f>
        <x:v>149</x:v>
      </x:c>
      <x:c r="B152" s="40" t="str">
        <x:v>ToastT</x:v>
      </x:c>
      <x:c r="C152" s="28" t="n">
        <x:f>SUMIF('Categorias'!$E$4:$E$1347,B152,'Categorias'!$F$4:$F$1347)</x:f>
        <x:v>121408</x:v>
      </x:c>
      <x:c r="D152" s="28" t="n">
        <x:f>SUMIFS('Categorias'!$F$4:$F$1347,'Categorias'!$E$4:$E$1347,B152,'Categorias'!$A$4:$A$1347,D$3)</x:f>
        <x:v>103377</x:v>
      </x:c>
      <x:c r="E152" s="28" t="n">
        <x:f>SUMIFS('Categorias'!$F$4:$F$1347,'Categorias'!$E$4:$E$1347,B152,'Categorias'!$A$4:$A$1347,E$3)</x:f>
        <x:v>13877</x:v>
      </x:c>
      <x:c r="F152" s="28" t="n">
        <x:f>SUMIFS('Categorias'!$F$4:$F$1347,'Categorias'!$E$4:$E$1347,B152,'Categorias'!$A$4:$A$1347,F$3)</x:f>
        <x:v>0</x:v>
      </x:c>
      <x:c r="G152" s="28" t="n">
        <x:f>SUMIFS('Categorias'!$F$4:$F$1347,'Categorias'!$E$4:$E$1347,B152,'Categorias'!$A$4:$A$1347,G$3)</x:f>
        <x:v>2274</x:v>
      </x:c>
      <x:c r="H152" s="28" t="n">
        <x:f>SUMIFS('Categorias'!$F$4:$F$1347,'Categorias'!$E$4:$E$1347,B152,'Categorias'!$A$4:$A$1347,H$3)</x:f>
        <x:v>429</x:v>
      </x:c>
      <x:c r="I152" s="28" t="n">
        <x:f>SUMIFS('Categorias'!$F$4:$F$1347,'Categorias'!$E$4:$E$1347,B152,'Categorias'!$A$4:$A$1347,I$3)</x:f>
        <x:v>80</x:v>
      </x:c>
      <x:c r="J152" s="28" t="n">
        <x:f>SUMIFS('Categorias'!$F$4:$F$1347,'Categorias'!$E$4:$E$1347,B152,'Categorias'!$A$4:$A$1347,J$3)</x:f>
        <x:v>1371</x:v>
      </x:c>
      <x:c r="K152" s="28" t="n">
        <x:f>SUMIFS('Categorias'!$F$4:$F$1347,'Categorias'!$E$4:$E$1347,B152,'Categorias'!$A$4:$A$1347,K$3)</x:f>
        <x:v>0</x:v>
      </x:c>
      <x:c r="L152" s="28" t="n">
        <x:f>SUMIFS('Categorias'!$F$4:$F$1347,'Categorias'!$E$4:$E$1347,B152,'Categorias'!$A$4:$A$1347,L$3)</x:f>
        <x:v>0</x:v>
      </x:c>
      <x:c r="M152" s="28" t="n">
        <x:f>SUMIFS('Categorias'!$F$4:$F$1347,'Categorias'!$E$4:$E$1347,B152,'Categorias'!$A$4:$A$1347,M$3)</x:f>
        <x:v>0</x:v>
      </x:c>
      <x:c r="N152" s="47" t="n">
        <x:f>SUMIFS('Categorias'!$F$4:$F$1347,'Categorias'!$E$4:$E$1347,B152,'Categorias'!$A$4:$A$1347,N$3)</x:f>
        <x:v>0</x:v>
      </x:c>
    </x:row>
    <x:row r="153">
      <x:c r="A153" s="39" t="n">
        <x:f>RANK.EQ(C153,$C$4:$C$273,0)</x:f>
        <x:v>150</x:v>
      </x:c>
      <x:c r="B153" s="40" t="str">
        <x:v>TensaiPT</x:v>
      </x:c>
      <x:c r="C153" s="28" t="n">
        <x:f>SUMIF('Categorias'!$E$4:$E$1347,B153,'Categorias'!$F$4:$F$1347)</x:f>
        <x:v>121326</x:v>
      </x:c>
      <x:c r="D153" s="28" t="n">
        <x:f>SUMIFS('Categorias'!$F$4:$F$1347,'Categorias'!$E$4:$E$1347,B153,'Categorias'!$A$4:$A$1347,D$3)</x:f>
        <x:v>99827</x:v>
      </x:c>
      <x:c r="E153" s="28" t="n">
        <x:f>SUMIFS('Categorias'!$F$4:$F$1347,'Categorias'!$E$4:$E$1347,B153,'Categorias'!$A$4:$A$1347,E$3)</x:f>
        <x:v>11388</x:v>
      </x:c>
      <x:c r="F153" s="28" t="n">
        <x:f>SUMIFS('Categorias'!$F$4:$F$1347,'Categorias'!$E$4:$E$1347,B153,'Categorias'!$A$4:$A$1347,F$3)</x:f>
        <x:v>0</x:v>
      </x:c>
      <x:c r="G153" s="28" t="n">
        <x:f>SUMIFS('Categorias'!$F$4:$F$1347,'Categorias'!$E$4:$E$1347,B153,'Categorias'!$A$4:$A$1347,G$3)</x:f>
        <x:v>0</x:v>
      </x:c>
      <x:c r="H153" s="28" t="n">
        <x:f>SUMIFS('Categorias'!$F$4:$F$1347,'Categorias'!$E$4:$E$1347,B153,'Categorias'!$A$4:$A$1347,H$3)</x:f>
        <x:v>2868</x:v>
      </x:c>
      <x:c r="I153" s="28" t="n">
        <x:f>SUMIFS('Categorias'!$F$4:$F$1347,'Categorias'!$E$4:$E$1347,B153,'Categorias'!$A$4:$A$1347,I$3)</x:f>
        <x:v>1191</x:v>
      </x:c>
      <x:c r="J153" s="28" t="n">
        <x:f>SUMIFS('Categorias'!$F$4:$F$1347,'Categorias'!$E$4:$E$1347,B153,'Categorias'!$A$4:$A$1347,J$3)</x:f>
        <x:v>6052</x:v>
      </x:c>
      <x:c r="K153" s="28" t="n">
        <x:f>SUMIFS('Categorias'!$F$4:$F$1347,'Categorias'!$E$4:$E$1347,B153,'Categorias'!$A$4:$A$1347,K$3)</x:f>
        <x:v>0</x:v>
      </x:c>
      <x:c r="L153" s="28" t="n">
        <x:f>SUMIFS('Categorias'!$F$4:$F$1347,'Categorias'!$E$4:$E$1347,B153,'Categorias'!$A$4:$A$1347,L$3)</x:f>
        <x:v>0</x:v>
      </x:c>
      <x:c r="M153" s="28" t="n">
        <x:f>SUMIFS('Categorias'!$F$4:$F$1347,'Categorias'!$E$4:$E$1347,B153,'Categorias'!$A$4:$A$1347,M$3)</x:f>
        <x:v>0</x:v>
      </x:c>
      <x:c r="N153" s="47" t="n">
        <x:f>SUMIFS('Categorias'!$F$4:$F$1347,'Categorias'!$E$4:$E$1347,B153,'Categorias'!$A$4:$A$1347,N$3)</x:f>
        <x:v>0</x:v>
      </x:c>
    </x:row>
    <x:row r="154">
      <x:c r="A154" s="39" t="n">
        <x:f>RANK.EQ(C154,$C$4:$C$273,0)</x:f>
        <x:v>151</x:v>
      </x:c>
      <x:c r="B154" s="40" t="str">
        <x:v>Afonsosa</x:v>
      </x:c>
      <x:c r="C154" s="28" t="n">
        <x:f>SUMIF('Categorias'!$E$4:$E$1347,B154,'Categorias'!$F$4:$F$1347)</x:f>
        <x:v>115454</x:v>
      </x:c>
      <x:c r="D154" s="28" t="n">
        <x:f>SUMIFS('Categorias'!$F$4:$F$1347,'Categorias'!$E$4:$E$1347,B154,'Categorias'!$A$4:$A$1347,D$3)</x:f>
        <x:v>115355</x:v>
      </x:c>
      <x:c r="E154" s="28" t="n">
        <x:f>SUMIFS('Categorias'!$F$4:$F$1347,'Categorias'!$E$4:$E$1347,B154,'Categorias'!$A$4:$A$1347,E$3)</x:f>
        <x:v>99</x:v>
      </x:c>
      <x:c r="F154" s="28" t="n">
        <x:f>SUMIFS('Categorias'!$F$4:$F$1347,'Categorias'!$E$4:$E$1347,B154,'Categorias'!$A$4:$A$1347,F$3)</x:f>
        <x:v>0</x:v>
      </x:c>
      <x:c r="G154" s="28" t="n">
        <x:f>SUMIFS('Categorias'!$F$4:$F$1347,'Categorias'!$E$4:$E$1347,B154,'Categorias'!$A$4:$A$1347,G$3)</x:f>
        <x:v>0</x:v>
      </x:c>
      <x:c r="H154" s="28" t="n">
        <x:f>SUMIFS('Categorias'!$F$4:$F$1347,'Categorias'!$E$4:$E$1347,B154,'Categorias'!$A$4:$A$1347,H$3)</x:f>
        <x:v>0</x:v>
      </x:c>
      <x:c r="I154" s="28" t="n">
        <x:f>SUMIFS('Categorias'!$F$4:$F$1347,'Categorias'!$E$4:$E$1347,B154,'Categorias'!$A$4:$A$1347,I$3)</x:f>
        <x:v>0</x:v>
      </x:c>
      <x:c r="J154" s="28" t="n">
        <x:f>SUMIFS('Categorias'!$F$4:$F$1347,'Categorias'!$E$4:$E$1347,B154,'Categorias'!$A$4:$A$1347,J$3)</x:f>
        <x:v>0</x:v>
      </x:c>
      <x:c r="K154" s="28" t="n">
        <x:f>SUMIFS('Categorias'!$F$4:$F$1347,'Categorias'!$E$4:$E$1347,B154,'Categorias'!$A$4:$A$1347,K$3)</x:f>
        <x:v>0</x:v>
      </x:c>
      <x:c r="L154" s="28" t="n">
        <x:f>SUMIFS('Categorias'!$F$4:$F$1347,'Categorias'!$E$4:$E$1347,B154,'Categorias'!$A$4:$A$1347,L$3)</x:f>
        <x:v>0</x:v>
      </x:c>
      <x:c r="M154" s="28" t="n">
        <x:f>SUMIFS('Categorias'!$F$4:$F$1347,'Categorias'!$E$4:$E$1347,B154,'Categorias'!$A$4:$A$1347,M$3)</x:f>
        <x:v>0</x:v>
      </x:c>
      <x:c r="N154" s="47" t="n">
        <x:f>SUMIFS('Categorias'!$F$4:$F$1347,'Categorias'!$E$4:$E$1347,B154,'Categorias'!$A$4:$A$1347,N$3)</x:f>
        <x:v>0</x:v>
      </x:c>
    </x:row>
    <x:row r="155">
      <x:c r="A155" s="39" t="n">
        <x:f>RANK.EQ(C155,$C$4:$C$273,0)</x:f>
        <x:v>152</x:v>
      </x:c>
      <x:c r="B155" s="40" t="str">
        <x:v>JoxPT</x:v>
      </x:c>
      <x:c r="C155" s="28" t="n">
        <x:f>SUMIF('Categorias'!$E$4:$E$1347,B155,'Categorias'!$F$4:$F$1347)</x:f>
        <x:v>113130</x:v>
      </x:c>
      <x:c r="D155" s="28" t="n">
        <x:f>SUMIFS('Categorias'!$F$4:$F$1347,'Categorias'!$E$4:$E$1347,B155,'Categorias'!$A$4:$A$1347,D$3)</x:f>
        <x:v>86234</x:v>
      </x:c>
      <x:c r="E155" s="28" t="n">
        <x:f>SUMIFS('Categorias'!$F$4:$F$1347,'Categorias'!$E$4:$E$1347,B155,'Categorias'!$A$4:$A$1347,E$3)</x:f>
        <x:v>3893</x:v>
      </x:c>
      <x:c r="F155" s="28" t="n">
        <x:f>SUMIFS('Categorias'!$F$4:$F$1347,'Categorias'!$E$4:$E$1347,B155,'Categorias'!$A$4:$A$1347,F$3)</x:f>
        <x:v>0</x:v>
      </x:c>
      <x:c r="G155" s="28" t="n">
        <x:f>SUMIFS('Categorias'!$F$4:$F$1347,'Categorias'!$E$4:$E$1347,B155,'Categorias'!$A$4:$A$1347,G$3)</x:f>
        <x:v>18041</x:v>
      </x:c>
      <x:c r="H155" s="28" t="n">
        <x:f>SUMIFS('Categorias'!$F$4:$F$1347,'Categorias'!$E$4:$E$1347,B155,'Categorias'!$A$4:$A$1347,H$3)</x:f>
        <x:v>2180</x:v>
      </x:c>
      <x:c r="I155" s="28" t="n">
        <x:f>SUMIFS('Categorias'!$F$4:$F$1347,'Categorias'!$E$4:$E$1347,B155,'Categorias'!$A$4:$A$1347,I$3)</x:f>
        <x:v>1012</x:v>
      </x:c>
      <x:c r="J155" s="28" t="n">
        <x:f>SUMIFS('Categorias'!$F$4:$F$1347,'Categorias'!$E$4:$E$1347,B155,'Categorias'!$A$4:$A$1347,J$3)</x:f>
        <x:v>1770</x:v>
      </x:c>
      <x:c r="K155" s="28" t="n">
        <x:f>SUMIFS('Categorias'!$F$4:$F$1347,'Categorias'!$E$4:$E$1347,B155,'Categorias'!$A$4:$A$1347,K$3)</x:f>
        <x:v>0</x:v>
      </x:c>
      <x:c r="L155" s="28" t="n">
        <x:f>SUMIFS('Categorias'!$F$4:$F$1347,'Categorias'!$E$4:$E$1347,B155,'Categorias'!$A$4:$A$1347,L$3)</x:f>
        <x:v>0</x:v>
      </x:c>
      <x:c r="M155" s="28" t="n">
        <x:f>SUMIFS('Categorias'!$F$4:$F$1347,'Categorias'!$E$4:$E$1347,B155,'Categorias'!$A$4:$A$1347,M$3)</x:f>
        <x:v>0</x:v>
      </x:c>
      <x:c r="N155" s="47" t="n">
        <x:f>SUMIFS('Categorias'!$F$4:$F$1347,'Categorias'!$E$4:$E$1347,B155,'Categorias'!$A$4:$A$1347,N$3)</x:f>
        <x:v>0</x:v>
      </x:c>
    </x:row>
    <x:row r="156">
      <x:c r="A156" s="39" t="n">
        <x:f>RANK.EQ(C156,$C$4:$C$273,0)</x:f>
        <x:v>153</x:v>
      </x:c>
      <x:c r="B156" s="40" t="str">
        <x:v>BWCTuga</x:v>
      </x:c>
      <x:c r="C156" s="28" t="n">
        <x:f>SUMIF('Categorias'!$E$4:$E$1347,B156,'Categorias'!$F$4:$F$1347)</x:f>
        <x:v>111910</x:v>
      </x:c>
      <x:c r="D156" s="28" t="n">
        <x:f>SUMIFS('Categorias'!$F$4:$F$1347,'Categorias'!$E$4:$E$1347,B156,'Categorias'!$A$4:$A$1347,D$3)</x:f>
        <x:v>88226</x:v>
      </x:c>
      <x:c r="E156" s="28" t="n">
        <x:f>SUMIFS('Categorias'!$F$4:$F$1347,'Categorias'!$E$4:$E$1347,B156,'Categorias'!$A$4:$A$1347,E$3)</x:f>
        <x:v>14648</x:v>
      </x:c>
      <x:c r="F156" s="28" t="n">
        <x:f>SUMIFS('Categorias'!$F$4:$F$1347,'Categorias'!$E$4:$E$1347,B156,'Categorias'!$A$4:$A$1347,F$3)</x:f>
        <x:v>0</x:v>
      </x:c>
      <x:c r="G156" s="28" t="n">
        <x:f>SUMIFS('Categorias'!$F$4:$F$1347,'Categorias'!$E$4:$E$1347,B156,'Categorias'!$A$4:$A$1347,G$3)</x:f>
        <x:v>0</x:v>
      </x:c>
      <x:c r="H156" s="28" t="n">
        <x:f>SUMIFS('Categorias'!$F$4:$F$1347,'Categorias'!$E$4:$E$1347,B156,'Categorias'!$A$4:$A$1347,H$3)</x:f>
        <x:v>853</x:v>
      </x:c>
      <x:c r="I156" s="28" t="n">
        <x:f>SUMIFS('Categorias'!$F$4:$F$1347,'Categorias'!$E$4:$E$1347,B156,'Categorias'!$A$4:$A$1347,I$3)</x:f>
        <x:v>7966</x:v>
      </x:c>
      <x:c r="J156" s="28" t="n">
        <x:f>SUMIFS('Categorias'!$F$4:$F$1347,'Categorias'!$E$4:$E$1347,B156,'Categorias'!$A$4:$A$1347,J$3)</x:f>
        <x:v>217</x:v>
      </x:c>
      <x:c r="K156" s="28" t="n">
        <x:f>SUMIFS('Categorias'!$F$4:$F$1347,'Categorias'!$E$4:$E$1347,B156,'Categorias'!$A$4:$A$1347,K$3)</x:f>
        <x:v>0</x:v>
      </x:c>
      <x:c r="L156" s="28" t="n">
        <x:f>SUMIFS('Categorias'!$F$4:$F$1347,'Categorias'!$E$4:$E$1347,B156,'Categorias'!$A$4:$A$1347,L$3)</x:f>
        <x:v>0</x:v>
      </x:c>
      <x:c r="M156" s="28" t="n">
        <x:f>SUMIFS('Categorias'!$F$4:$F$1347,'Categorias'!$E$4:$E$1347,B156,'Categorias'!$A$4:$A$1347,M$3)</x:f>
        <x:v>0</x:v>
      </x:c>
      <x:c r="N156" s="47" t="n">
        <x:f>SUMIFS('Categorias'!$F$4:$F$1347,'Categorias'!$E$4:$E$1347,B156,'Categorias'!$A$4:$A$1347,N$3)</x:f>
        <x:v>0</x:v>
      </x:c>
    </x:row>
    <x:row r="157">
      <x:c r="A157" s="39" t="n">
        <x:f>RANK.EQ(C157,$C$4:$C$273,0)</x:f>
        <x:v>154</x:v>
      </x:c>
      <x:c r="B157" s="40" t="str">
        <x:v>B2r</x:v>
      </x:c>
      <x:c r="C157" s="28" t="n">
        <x:f>SUMIF('Categorias'!$E$4:$E$1347,B157,'Categorias'!$F$4:$F$1347)</x:f>
        <x:v>109942</x:v>
      </x:c>
      <x:c r="D157" s="28" t="n">
        <x:f>SUMIFS('Categorias'!$F$4:$F$1347,'Categorias'!$E$4:$E$1347,B157,'Categorias'!$A$4:$A$1347,D$3)</x:f>
        <x:v>95173</x:v>
      </x:c>
      <x:c r="E157" s="28" t="n">
        <x:f>SUMIFS('Categorias'!$F$4:$F$1347,'Categorias'!$E$4:$E$1347,B157,'Categorias'!$A$4:$A$1347,E$3)</x:f>
        <x:v>8105</x:v>
      </x:c>
      <x:c r="F157" s="28" t="n">
        <x:f>SUMIFS('Categorias'!$F$4:$F$1347,'Categorias'!$E$4:$E$1347,B157,'Categorias'!$A$4:$A$1347,F$3)</x:f>
        <x:v>0</x:v>
      </x:c>
      <x:c r="G157" s="28" t="n">
        <x:f>SUMIFS('Categorias'!$F$4:$F$1347,'Categorias'!$E$4:$E$1347,B157,'Categorias'!$A$4:$A$1347,G$3)</x:f>
        <x:v>0</x:v>
      </x:c>
      <x:c r="H157" s="28" t="n">
        <x:f>SUMIFS('Categorias'!$F$4:$F$1347,'Categorias'!$E$4:$E$1347,B157,'Categorias'!$A$4:$A$1347,H$3)</x:f>
        <x:v>6460</x:v>
      </x:c>
      <x:c r="I157" s="28" t="n">
        <x:f>SUMIFS('Categorias'!$F$4:$F$1347,'Categorias'!$E$4:$E$1347,B157,'Categorias'!$A$4:$A$1347,I$3)</x:f>
        <x:v>204</x:v>
      </x:c>
      <x:c r="J157" s="28" t="n">
        <x:f>SUMIFS('Categorias'!$F$4:$F$1347,'Categorias'!$E$4:$E$1347,B157,'Categorias'!$A$4:$A$1347,J$3)</x:f>
        <x:v>0</x:v>
      </x:c>
      <x:c r="K157" s="28" t="n">
        <x:f>SUMIFS('Categorias'!$F$4:$F$1347,'Categorias'!$E$4:$E$1347,B157,'Categorias'!$A$4:$A$1347,K$3)</x:f>
        <x:v>0</x:v>
      </x:c>
      <x:c r="L157" s="28" t="n">
        <x:f>SUMIFS('Categorias'!$F$4:$F$1347,'Categorias'!$E$4:$E$1347,B157,'Categorias'!$A$4:$A$1347,L$3)</x:f>
        <x:v>0</x:v>
      </x:c>
      <x:c r="M157" s="28" t="n">
        <x:f>SUMIFS('Categorias'!$F$4:$F$1347,'Categorias'!$E$4:$E$1347,B157,'Categorias'!$A$4:$A$1347,M$3)</x:f>
        <x:v>0</x:v>
      </x:c>
      <x:c r="N157" s="47" t="n">
        <x:f>SUMIFS('Categorias'!$F$4:$F$1347,'Categorias'!$E$4:$E$1347,B157,'Categorias'!$A$4:$A$1347,N$3)</x:f>
        <x:v>0</x:v>
      </x:c>
    </x:row>
    <x:row r="158">
      <x:c r="A158" s="39" t="n">
        <x:f>RANK.EQ(C158,$C$4:$C$273,0)</x:f>
        <x:v>155</x:v>
      </x:c>
      <x:c r="B158" s="40" t="str">
        <x:v>1SkylifhtLWY</x:v>
      </x:c>
      <x:c r="C158" s="28" t="n">
        <x:f>SUMIF('Categorias'!$E$4:$E$1347,B158,'Categorias'!$F$4:$F$1347)</x:f>
        <x:v>91226</x:v>
      </x:c>
      <x:c r="D158" s="28" t="n">
        <x:f>SUMIFS('Categorias'!$F$4:$F$1347,'Categorias'!$E$4:$E$1347,B158,'Categorias'!$A$4:$A$1347,D$3)</x:f>
        <x:v>75520</x:v>
      </x:c>
      <x:c r="E158" s="28" t="n">
        <x:f>SUMIFS('Categorias'!$F$4:$F$1347,'Categorias'!$E$4:$E$1347,B158,'Categorias'!$A$4:$A$1347,E$3)</x:f>
        <x:v>7225</x:v>
      </x:c>
      <x:c r="F158" s="28" t="n">
        <x:f>SUMIFS('Categorias'!$F$4:$F$1347,'Categorias'!$E$4:$E$1347,B158,'Categorias'!$A$4:$A$1347,F$3)</x:f>
        <x:v>0</x:v>
      </x:c>
      <x:c r="G158" s="28" t="n">
        <x:f>SUMIFS('Categorias'!$F$4:$F$1347,'Categorias'!$E$4:$E$1347,B158,'Categorias'!$A$4:$A$1347,G$3)</x:f>
        <x:v>0</x:v>
      </x:c>
      <x:c r="H158" s="28" t="n">
        <x:f>SUMIFS('Categorias'!$F$4:$F$1347,'Categorias'!$E$4:$E$1347,B158,'Categorias'!$A$4:$A$1347,H$3)</x:f>
        <x:v>974</x:v>
      </x:c>
      <x:c r="I158" s="28" t="n">
        <x:f>SUMIFS('Categorias'!$F$4:$F$1347,'Categorias'!$E$4:$E$1347,B158,'Categorias'!$A$4:$A$1347,I$3)</x:f>
        <x:v>1920</x:v>
      </x:c>
      <x:c r="J158" s="28" t="n">
        <x:f>SUMIFS('Categorias'!$F$4:$F$1347,'Categorias'!$E$4:$E$1347,B158,'Categorias'!$A$4:$A$1347,J$3)</x:f>
        <x:v>5587</x:v>
      </x:c>
      <x:c r="K158" s="28" t="n">
        <x:f>SUMIFS('Categorias'!$F$4:$F$1347,'Categorias'!$E$4:$E$1347,B158,'Categorias'!$A$4:$A$1347,K$3)</x:f>
        <x:v>0</x:v>
      </x:c>
      <x:c r="L158" s="28" t="n">
        <x:f>SUMIFS('Categorias'!$F$4:$F$1347,'Categorias'!$E$4:$E$1347,B158,'Categorias'!$A$4:$A$1347,L$3)</x:f>
        <x:v>0</x:v>
      </x:c>
      <x:c r="M158" s="28" t="n">
        <x:f>SUMIFS('Categorias'!$F$4:$F$1347,'Categorias'!$E$4:$E$1347,B158,'Categorias'!$A$4:$A$1347,M$3)</x:f>
        <x:v>0</x:v>
      </x:c>
      <x:c r="N158" s="47" t="n">
        <x:f>SUMIFS('Categorias'!$F$4:$F$1347,'Categorias'!$E$4:$E$1347,B158,'Categorias'!$A$4:$A$1347,N$3)</x:f>
        <x:v>0</x:v>
      </x:c>
    </x:row>
    <x:row r="159">
      <x:c r="A159" s="39" t="n">
        <x:f>RANK.EQ(C159,$C$4:$C$273,0)</x:f>
        <x:v>156</x:v>
      </x:c>
      <x:c r="B159" s="40" t="str">
        <x:v>suypoM</x:v>
      </x:c>
      <x:c r="C159" s="28" t="n">
        <x:f>SUMIF('Categorias'!$E$4:$E$1347,B159,'Categorias'!$F$4:$F$1347)</x:f>
        <x:v>89311</x:v>
      </x:c>
      <x:c r="D159" s="28" t="n">
        <x:f>SUMIFS('Categorias'!$F$4:$F$1347,'Categorias'!$E$4:$E$1347,B159,'Categorias'!$A$4:$A$1347,D$3)</x:f>
        <x:v>89078</x:v>
      </x:c>
      <x:c r="E159" s="28" t="n">
        <x:f>SUMIFS('Categorias'!$F$4:$F$1347,'Categorias'!$E$4:$E$1347,B159,'Categorias'!$A$4:$A$1347,E$3)</x:f>
        <x:v>233</x:v>
      </x:c>
      <x:c r="F159" s="28" t="n">
        <x:f>SUMIFS('Categorias'!$F$4:$F$1347,'Categorias'!$E$4:$E$1347,B159,'Categorias'!$A$4:$A$1347,F$3)</x:f>
        <x:v>0</x:v>
      </x:c>
      <x:c r="G159" s="28" t="n">
        <x:f>SUMIFS('Categorias'!$F$4:$F$1347,'Categorias'!$E$4:$E$1347,B159,'Categorias'!$A$4:$A$1347,G$3)</x:f>
        <x:v>0</x:v>
      </x:c>
      <x:c r="H159" s="28" t="n">
        <x:f>SUMIFS('Categorias'!$F$4:$F$1347,'Categorias'!$E$4:$E$1347,B159,'Categorias'!$A$4:$A$1347,H$3)</x:f>
        <x:v>0</x:v>
      </x:c>
      <x:c r="I159" s="28" t="n">
        <x:f>SUMIFS('Categorias'!$F$4:$F$1347,'Categorias'!$E$4:$E$1347,B159,'Categorias'!$A$4:$A$1347,I$3)</x:f>
        <x:v>0</x:v>
      </x:c>
      <x:c r="J159" s="28" t="n">
        <x:f>SUMIFS('Categorias'!$F$4:$F$1347,'Categorias'!$E$4:$E$1347,B159,'Categorias'!$A$4:$A$1347,J$3)</x:f>
        <x:v>0</x:v>
      </x:c>
      <x:c r="K159" s="28" t="n">
        <x:f>SUMIFS('Categorias'!$F$4:$F$1347,'Categorias'!$E$4:$E$1347,B159,'Categorias'!$A$4:$A$1347,K$3)</x:f>
        <x:v>0</x:v>
      </x:c>
      <x:c r="L159" s="28" t="n">
        <x:f>SUMIFS('Categorias'!$F$4:$F$1347,'Categorias'!$E$4:$E$1347,B159,'Categorias'!$A$4:$A$1347,L$3)</x:f>
        <x:v>0</x:v>
      </x:c>
      <x:c r="M159" s="28" t="n">
        <x:f>SUMIFS('Categorias'!$F$4:$F$1347,'Categorias'!$E$4:$E$1347,B159,'Categorias'!$A$4:$A$1347,M$3)</x:f>
        <x:v>0</x:v>
      </x:c>
      <x:c r="N159" s="47" t="n">
        <x:f>SUMIFS('Categorias'!$F$4:$F$1347,'Categorias'!$E$4:$E$1347,B159,'Categorias'!$A$4:$A$1347,N$3)</x:f>
        <x:v>0</x:v>
      </x:c>
    </x:row>
    <x:row r="160">
      <x:c r="A160" s="39" t="n">
        <x:f>RANK.EQ(C160,$C$4:$C$273,0)</x:f>
        <x:v>157</x:v>
      </x:c>
      <x:c r="B160" s="40" t="str">
        <x:v>Patiinhas</x:v>
      </x:c>
      <x:c r="C160" s="28" t="n">
        <x:f>SUMIF('Categorias'!$E$4:$E$1347,B160,'Categorias'!$F$4:$F$1347)</x:f>
        <x:v>87762</x:v>
      </x:c>
      <x:c r="D160" s="28" t="n">
        <x:f>SUMIFS('Categorias'!$F$4:$F$1347,'Categorias'!$E$4:$E$1347,B160,'Categorias'!$A$4:$A$1347,D$3)</x:f>
        <x:v>79159</x:v>
      </x:c>
      <x:c r="E160" s="28" t="n">
        <x:f>SUMIFS('Categorias'!$F$4:$F$1347,'Categorias'!$E$4:$E$1347,B160,'Categorias'!$A$4:$A$1347,E$3)</x:f>
        <x:v>77</x:v>
      </x:c>
      <x:c r="F160" s="28" t="n">
        <x:f>SUMIFS('Categorias'!$F$4:$F$1347,'Categorias'!$E$4:$E$1347,B160,'Categorias'!$A$4:$A$1347,F$3)</x:f>
        <x:v>7989</x:v>
      </x:c>
      <x:c r="G160" s="28" t="n">
        <x:f>SUMIFS('Categorias'!$F$4:$F$1347,'Categorias'!$E$4:$E$1347,B160,'Categorias'!$A$4:$A$1347,G$3)</x:f>
        <x:v>0</x:v>
      </x:c>
      <x:c r="H160" s="28" t="n">
        <x:f>SUMIFS('Categorias'!$F$4:$F$1347,'Categorias'!$E$4:$E$1347,B160,'Categorias'!$A$4:$A$1347,H$3)</x:f>
        <x:v>537</x:v>
      </x:c>
      <x:c r="I160" s="28" t="n">
        <x:f>SUMIFS('Categorias'!$F$4:$F$1347,'Categorias'!$E$4:$E$1347,B160,'Categorias'!$A$4:$A$1347,I$3)</x:f>
        <x:v>0</x:v>
      </x:c>
      <x:c r="J160" s="28" t="n">
        <x:f>SUMIFS('Categorias'!$F$4:$F$1347,'Categorias'!$E$4:$E$1347,B160,'Categorias'!$A$4:$A$1347,J$3)</x:f>
        <x:v>0</x:v>
      </x:c>
      <x:c r="K160" s="28" t="n">
        <x:f>SUMIFS('Categorias'!$F$4:$F$1347,'Categorias'!$E$4:$E$1347,B160,'Categorias'!$A$4:$A$1347,K$3)</x:f>
        <x:v>0</x:v>
      </x:c>
      <x:c r="L160" s="28" t="n">
        <x:f>SUMIFS('Categorias'!$F$4:$F$1347,'Categorias'!$E$4:$E$1347,B160,'Categorias'!$A$4:$A$1347,L$3)</x:f>
        <x:v>0</x:v>
      </x:c>
      <x:c r="M160" s="28" t="n">
        <x:f>SUMIFS('Categorias'!$F$4:$F$1347,'Categorias'!$E$4:$E$1347,B160,'Categorias'!$A$4:$A$1347,M$3)</x:f>
        <x:v>0</x:v>
      </x:c>
      <x:c r="N160" s="47" t="n">
        <x:f>SUMIFS('Categorias'!$F$4:$F$1347,'Categorias'!$E$4:$E$1347,B160,'Categorias'!$A$4:$A$1347,N$3)</x:f>
        <x:v>0</x:v>
      </x:c>
    </x:row>
    <x:row r="161">
      <x:c r="A161" s="39" t="n">
        <x:f>RANK.EQ(C161,$C$4:$C$273,0)</x:f>
        <x:v>158</x:v>
      </x:c>
      <x:c r="B161" s="40" t="str">
        <x:v>Lourok</x:v>
      </x:c>
      <x:c r="C161" s="28" t="n">
        <x:f>SUMIF('Categorias'!$E$4:$E$1347,B161,'Categorias'!$F$4:$F$1347)</x:f>
        <x:v>85936</x:v>
      </x:c>
      <x:c r="D161" s="28" t="n">
        <x:f>SUMIFS('Categorias'!$F$4:$F$1347,'Categorias'!$E$4:$E$1347,B161,'Categorias'!$A$4:$A$1347,D$3)</x:f>
        <x:v>85462</x:v>
      </x:c>
      <x:c r="E161" s="28" t="n">
        <x:f>SUMIFS('Categorias'!$F$4:$F$1347,'Categorias'!$E$4:$E$1347,B161,'Categorias'!$A$4:$A$1347,E$3)</x:f>
        <x:v>364</x:v>
      </x:c>
      <x:c r="F161" s="28" t="n">
        <x:f>SUMIFS('Categorias'!$F$4:$F$1347,'Categorias'!$E$4:$E$1347,B161,'Categorias'!$A$4:$A$1347,F$3)</x:f>
        <x:v>0</x:v>
      </x:c>
      <x:c r="G161" s="28" t="n">
        <x:f>SUMIFS('Categorias'!$F$4:$F$1347,'Categorias'!$E$4:$E$1347,B161,'Categorias'!$A$4:$A$1347,G$3)</x:f>
        <x:v>0</x:v>
      </x:c>
      <x:c r="H161" s="28" t="n">
        <x:f>SUMIFS('Categorias'!$F$4:$F$1347,'Categorias'!$E$4:$E$1347,B161,'Categorias'!$A$4:$A$1347,H$3)</x:f>
        <x:v>0</x:v>
      </x:c>
      <x:c r="I161" s="28" t="n">
        <x:f>SUMIFS('Categorias'!$F$4:$F$1347,'Categorias'!$E$4:$E$1347,B161,'Categorias'!$A$4:$A$1347,I$3)</x:f>
        <x:v>110</x:v>
      </x:c>
      <x:c r="J161" s="28" t="n">
        <x:f>SUMIFS('Categorias'!$F$4:$F$1347,'Categorias'!$E$4:$E$1347,B161,'Categorias'!$A$4:$A$1347,J$3)</x:f>
        <x:v>0</x:v>
      </x:c>
      <x:c r="K161" s="28" t="n">
        <x:f>SUMIFS('Categorias'!$F$4:$F$1347,'Categorias'!$E$4:$E$1347,B161,'Categorias'!$A$4:$A$1347,K$3)</x:f>
        <x:v>0</x:v>
      </x:c>
      <x:c r="L161" s="28" t="n">
        <x:f>SUMIFS('Categorias'!$F$4:$F$1347,'Categorias'!$E$4:$E$1347,B161,'Categorias'!$A$4:$A$1347,L$3)</x:f>
        <x:v>0</x:v>
      </x:c>
      <x:c r="M161" s="28" t="n">
        <x:f>SUMIFS('Categorias'!$F$4:$F$1347,'Categorias'!$E$4:$E$1347,B161,'Categorias'!$A$4:$A$1347,M$3)</x:f>
        <x:v>0</x:v>
      </x:c>
      <x:c r="N161" s="47" t="n">
        <x:f>SUMIFS('Categorias'!$F$4:$F$1347,'Categorias'!$E$4:$E$1347,B161,'Categorias'!$A$4:$A$1347,N$3)</x:f>
        <x:v>0</x:v>
      </x:c>
    </x:row>
    <x:row r="162">
      <x:c r="A162" s="39" t="n">
        <x:f>RANK.EQ(C162,$C$4:$C$273,0)</x:f>
        <x:v>159</x:v>
      </x:c>
      <x:c r="B162" s="40" t="str">
        <x:v>Telesss</x:v>
      </x:c>
      <x:c r="C162" s="28" t="n">
        <x:f>SUMIF('Categorias'!$E$4:$E$1347,B162,'Categorias'!$F$4:$F$1347)</x:f>
        <x:v>85924</x:v>
      </x:c>
      <x:c r="D162" s="28" t="n">
        <x:f>SUMIFS('Categorias'!$F$4:$F$1347,'Categorias'!$E$4:$E$1347,B162,'Categorias'!$A$4:$A$1347,D$3)</x:f>
        <x:v>69630</x:v>
      </x:c>
      <x:c r="E162" s="28" t="n">
        <x:f>SUMIFS('Categorias'!$F$4:$F$1347,'Categorias'!$E$4:$E$1347,B162,'Categorias'!$A$4:$A$1347,E$3)</x:f>
        <x:v>7843</x:v>
      </x:c>
      <x:c r="F162" s="28" t="n">
        <x:f>SUMIFS('Categorias'!$F$4:$F$1347,'Categorias'!$E$4:$E$1347,B162,'Categorias'!$A$4:$A$1347,F$3)</x:f>
        <x:v>0</x:v>
      </x:c>
      <x:c r="G162" s="28" t="n">
        <x:f>SUMIFS('Categorias'!$F$4:$F$1347,'Categorias'!$E$4:$E$1347,B162,'Categorias'!$A$4:$A$1347,G$3)</x:f>
        <x:v>4548</x:v>
      </x:c>
      <x:c r="H162" s="28" t="n">
        <x:f>SUMIFS('Categorias'!$F$4:$F$1347,'Categorias'!$E$4:$E$1347,B162,'Categorias'!$A$4:$A$1347,H$3)</x:f>
        <x:v>2563</x:v>
      </x:c>
      <x:c r="I162" s="28" t="n">
        <x:f>SUMIFS('Categorias'!$F$4:$F$1347,'Categorias'!$E$4:$E$1347,B162,'Categorias'!$A$4:$A$1347,I$3)</x:f>
        <x:v>366</x:v>
      </x:c>
      <x:c r="J162" s="28" t="n">
        <x:f>SUMIFS('Categorias'!$F$4:$F$1347,'Categorias'!$E$4:$E$1347,B162,'Categorias'!$A$4:$A$1347,J$3)</x:f>
        <x:v>0</x:v>
      </x:c>
      <x:c r="K162" s="28" t="n">
        <x:f>SUMIFS('Categorias'!$F$4:$F$1347,'Categorias'!$E$4:$E$1347,B162,'Categorias'!$A$4:$A$1347,K$3)</x:f>
        <x:v>0</x:v>
      </x:c>
      <x:c r="L162" s="28" t="n">
        <x:f>SUMIFS('Categorias'!$F$4:$F$1347,'Categorias'!$E$4:$E$1347,B162,'Categorias'!$A$4:$A$1347,L$3)</x:f>
        <x:v>0</x:v>
      </x:c>
      <x:c r="M162" s="28" t="n">
        <x:f>SUMIFS('Categorias'!$F$4:$F$1347,'Categorias'!$E$4:$E$1347,B162,'Categorias'!$A$4:$A$1347,M$3)</x:f>
        <x:v>0</x:v>
      </x:c>
      <x:c r="N162" s="47" t="n">
        <x:f>SUMIFS('Categorias'!$F$4:$F$1347,'Categorias'!$E$4:$E$1347,B162,'Categorias'!$A$4:$A$1347,N$3)</x:f>
        <x:v>974</x:v>
      </x:c>
    </x:row>
    <x:row r="163">
      <x:c r="A163" s="39" t="n">
        <x:f>RANK.EQ(C163,$C$4:$C$273,0)</x:f>
        <x:v>160</x:v>
      </x:c>
      <x:c r="B163" s="40" t="str">
        <x:v>oldZada</x:v>
      </x:c>
      <x:c r="C163" s="28" t="n">
        <x:f>SUMIF('Categorias'!$E$4:$E$1347,B163,'Categorias'!$F$4:$F$1347)</x:f>
        <x:v>85764</x:v>
      </x:c>
      <x:c r="D163" s="28" t="n">
        <x:f>SUMIFS('Categorias'!$F$4:$F$1347,'Categorias'!$E$4:$E$1347,B163,'Categorias'!$A$4:$A$1347,D$3)</x:f>
        <x:v>85764</x:v>
      </x:c>
      <x:c r="E163" s="28" t="n">
        <x:f>SUMIFS('Categorias'!$F$4:$F$1347,'Categorias'!$E$4:$E$1347,B163,'Categorias'!$A$4:$A$1347,E$3)</x:f>
        <x:v>0</x:v>
      </x:c>
      <x:c r="F163" s="28" t="n">
        <x:f>SUMIFS('Categorias'!$F$4:$F$1347,'Categorias'!$E$4:$E$1347,B163,'Categorias'!$A$4:$A$1347,F$3)</x:f>
        <x:v>0</x:v>
      </x:c>
      <x:c r="G163" s="28" t="n">
        <x:f>SUMIFS('Categorias'!$F$4:$F$1347,'Categorias'!$E$4:$E$1347,B163,'Categorias'!$A$4:$A$1347,G$3)</x:f>
        <x:v>0</x:v>
      </x:c>
      <x:c r="H163" s="28" t="n">
        <x:f>SUMIFS('Categorias'!$F$4:$F$1347,'Categorias'!$E$4:$E$1347,B163,'Categorias'!$A$4:$A$1347,H$3)</x:f>
        <x:v>0</x:v>
      </x:c>
      <x:c r="I163" s="28" t="n">
        <x:f>SUMIFS('Categorias'!$F$4:$F$1347,'Categorias'!$E$4:$E$1347,B163,'Categorias'!$A$4:$A$1347,I$3)</x:f>
        <x:v>0</x:v>
      </x:c>
      <x:c r="J163" s="28" t="n">
        <x:f>SUMIFS('Categorias'!$F$4:$F$1347,'Categorias'!$E$4:$E$1347,B163,'Categorias'!$A$4:$A$1347,J$3)</x:f>
        <x:v>0</x:v>
      </x:c>
      <x:c r="K163" s="28" t="n">
        <x:f>SUMIFS('Categorias'!$F$4:$F$1347,'Categorias'!$E$4:$E$1347,B163,'Categorias'!$A$4:$A$1347,K$3)</x:f>
        <x:v>0</x:v>
      </x:c>
      <x:c r="L163" s="28" t="n">
        <x:f>SUMIFS('Categorias'!$F$4:$F$1347,'Categorias'!$E$4:$E$1347,B163,'Categorias'!$A$4:$A$1347,L$3)</x:f>
        <x:v>0</x:v>
      </x:c>
      <x:c r="M163" s="28" t="n">
        <x:f>SUMIFS('Categorias'!$F$4:$F$1347,'Categorias'!$E$4:$E$1347,B163,'Categorias'!$A$4:$A$1347,M$3)</x:f>
        <x:v>0</x:v>
      </x:c>
      <x:c r="N163" s="47" t="n">
        <x:f>SUMIFS('Categorias'!$F$4:$F$1347,'Categorias'!$E$4:$E$1347,B163,'Categorias'!$A$4:$A$1347,N$3)</x:f>
        <x:v>0</x:v>
      </x:c>
    </x:row>
    <x:row r="164">
      <x:c r="A164" s="39" t="n">
        <x:f>RANK.EQ(C164,$C$4:$C$273,0)</x:f>
        <x:v>161</x:v>
      </x:c>
      <x:c r="B164" s="40" t="str">
        <x:v>DanyV2</x:v>
      </x:c>
      <x:c r="C164" s="28" t="n">
        <x:f>SUMIF('Categorias'!$E$4:$E$1347,B164,'Categorias'!$F$4:$F$1347)</x:f>
        <x:v>81376</x:v>
      </x:c>
      <x:c r="D164" s="28" t="n">
        <x:f>SUMIFS('Categorias'!$F$4:$F$1347,'Categorias'!$E$4:$E$1347,B164,'Categorias'!$A$4:$A$1347,D$3)</x:f>
        <x:v>22021</x:v>
      </x:c>
      <x:c r="E164" s="28" t="n">
        <x:f>SUMIFS('Categorias'!$F$4:$F$1347,'Categorias'!$E$4:$E$1347,B164,'Categorias'!$A$4:$A$1347,E$3)</x:f>
        <x:v>2954</x:v>
      </x:c>
      <x:c r="F164" s="28" t="n">
        <x:f>SUMIFS('Categorias'!$F$4:$F$1347,'Categorias'!$E$4:$E$1347,B164,'Categorias'!$A$4:$A$1347,F$3)</x:f>
        <x:v>0</x:v>
      </x:c>
      <x:c r="G164" s="28" t="n">
        <x:f>SUMIFS('Categorias'!$F$4:$F$1347,'Categorias'!$E$4:$E$1347,B164,'Categorias'!$A$4:$A$1347,G$3)</x:f>
        <x:v>0</x:v>
      </x:c>
      <x:c r="H164" s="28" t="n">
        <x:f>SUMIFS('Categorias'!$F$4:$F$1347,'Categorias'!$E$4:$E$1347,B164,'Categorias'!$A$4:$A$1347,H$3)</x:f>
        <x:v>8048</x:v>
      </x:c>
      <x:c r="I164" s="28" t="n">
        <x:f>SUMIFS('Categorias'!$F$4:$F$1347,'Categorias'!$E$4:$E$1347,B164,'Categorias'!$A$4:$A$1347,I$3)</x:f>
        <x:v>910</x:v>
      </x:c>
      <x:c r="J164" s="28" t="n">
        <x:f>SUMIFS('Categorias'!$F$4:$F$1347,'Categorias'!$E$4:$E$1347,B164,'Categorias'!$A$4:$A$1347,J$3)</x:f>
        <x:v>5448</x:v>
      </x:c>
      <x:c r="K164" s="28" t="n">
        <x:f>SUMIFS('Categorias'!$F$4:$F$1347,'Categorias'!$E$4:$E$1347,B164,'Categorias'!$A$4:$A$1347,K$3)</x:f>
        <x:v>0</x:v>
      </x:c>
      <x:c r="L164" s="28" t="n">
        <x:f>SUMIFS('Categorias'!$F$4:$F$1347,'Categorias'!$E$4:$E$1347,B164,'Categorias'!$A$4:$A$1347,L$3)</x:f>
        <x:v>0</x:v>
      </x:c>
      <x:c r="M164" s="28" t="n">
        <x:f>SUMIFS('Categorias'!$F$4:$F$1347,'Categorias'!$E$4:$E$1347,B164,'Categorias'!$A$4:$A$1347,M$3)</x:f>
        <x:v>0</x:v>
      </x:c>
      <x:c r="N164" s="47" t="n">
        <x:f>SUMIFS('Categorias'!$F$4:$F$1347,'Categorias'!$E$4:$E$1347,B164,'Categorias'!$A$4:$A$1347,N$3)</x:f>
        <x:v>41995</x:v>
      </x:c>
    </x:row>
    <x:row r="165">
      <x:c r="A165" s="39" t="n">
        <x:f>RANK.EQ(C165,$C$4:$C$273,0)</x:f>
        <x:v>162</x:v>
      </x:c>
      <x:c r="B165" s="40" t="str">
        <x:v>ZURGUING</x:v>
      </x:c>
      <x:c r="C165" s="28" t="n">
        <x:f>SUMIF('Categorias'!$E$4:$E$1347,B165,'Categorias'!$F$4:$F$1347)</x:f>
        <x:v>80215</x:v>
      </x:c>
      <x:c r="D165" s="28" t="n">
        <x:f>SUMIFS('Categorias'!$F$4:$F$1347,'Categorias'!$E$4:$E$1347,B165,'Categorias'!$A$4:$A$1347,D$3)</x:f>
        <x:v>68152</x:v>
      </x:c>
      <x:c r="E165" s="28" t="n">
        <x:f>SUMIFS('Categorias'!$F$4:$F$1347,'Categorias'!$E$4:$E$1347,B165,'Categorias'!$A$4:$A$1347,E$3)</x:f>
        <x:v>7050</x:v>
      </x:c>
      <x:c r="F165" s="28" t="n">
        <x:f>SUMIFS('Categorias'!$F$4:$F$1347,'Categorias'!$E$4:$E$1347,B165,'Categorias'!$A$4:$A$1347,F$3)</x:f>
        <x:v>0</x:v>
      </x:c>
      <x:c r="G165" s="28" t="n">
        <x:f>SUMIFS('Categorias'!$F$4:$F$1347,'Categorias'!$E$4:$E$1347,B165,'Categorias'!$A$4:$A$1347,G$3)</x:f>
        <x:v>0</x:v>
      </x:c>
      <x:c r="H165" s="28" t="n">
        <x:f>SUMIFS('Categorias'!$F$4:$F$1347,'Categorias'!$E$4:$E$1347,B165,'Categorias'!$A$4:$A$1347,H$3)</x:f>
        <x:v>2415</x:v>
      </x:c>
      <x:c r="I165" s="28" t="n">
        <x:f>SUMIFS('Categorias'!$F$4:$F$1347,'Categorias'!$E$4:$E$1347,B165,'Categorias'!$A$4:$A$1347,I$3)</x:f>
        <x:v>331</x:v>
      </x:c>
      <x:c r="J165" s="28" t="n">
        <x:f>SUMIFS('Categorias'!$F$4:$F$1347,'Categorias'!$E$4:$E$1347,B165,'Categorias'!$A$4:$A$1347,J$3)</x:f>
        <x:v>0</x:v>
      </x:c>
      <x:c r="K165" s="28" t="n">
        <x:f>SUMIFS('Categorias'!$F$4:$F$1347,'Categorias'!$E$4:$E$1347,B165,'Categorias'!$A$4:$A$1347,K$3)</x:f>
        <x:v>557</x:v>
      </x:c>
      <x:c r="L165" s="28" t="n">
        <x:f>SUMIFS('Categorias'!$F$4:$F$1347,'Categorias'!$E$4:$E$1347,B165,'Categorias'!$A$4:$A$1347,L$3)</x:f>
        <x:v>1710</x:v>
      </x:c>
      <x:c r="M165" s="28" t="n">
        <x:f>SUMIFS('Categorias'!$F$4:$F$1347,'Categorias'!$E$4:$E$1347,B165,'Categorias'!$A$4:$A$1347,M$3)</x:f>
        <x:v>0</x:v>
      </x:c>
      <x:c r="N165" s="47" t="n">
        <x:f>SUMIFS('Categorias'!$F$4:$F$1347,'Categorias'!$E$4:$E$1347,B165,'Categorias'!$A$4:$A$1347,N$3)</x:f>
        <x:v>0</x:v>
      </x:c>
    </x:row>
    <x:row r="166">
      <x:c r="A166" s="39" t="n">
        <x:f>RANK.EQ(C166,$C$4:$C$273,0)</x:f>
        <x:v>163</x:v>
      </x:c>
      <x:c r="B166" s="40" t="str">
        <x:v>FullTime</x:v>
      </x:c>
      <x:c r="C166" s="28" t="n">
        <x:f>SUMIF('Categorias'!$E$4:$E$1347,B166,'Categorias'!$F$4:$F$1347)</x:f>
        <x:v>79632</x:v>
      </x:c>
      <x:c r="D166" s="28" t="n">
        <x:f>SUMIFS('Categorias'!$F$4:$F$1347,'Categorias'!$E$4:$E$1347,B166,'Categorias'!$A$4:$A$1347,D$3)</x:f>
        <x:v>40320</x:v>
      </x:c>
      <x:c r="E166" s="28" t="n">
        <x:f>SUMIFS('Categorias'!$F$4:$F$1347,'Categorias'!$E$4:$E$1347,B166,'Categorias'!$A$4:$A$1347,E$3)</x:f>
        <x:v>3200</x:v>
      </x:c>
      <x:c r="F166" s="28" t="n">
        <x:f>SUMIFS('Categorias'!$F$4:$F$1347,'Categorias'!$E$4:$E$1347,B166,'Categorias'!$A$4:$A$1347,F$3)</x:f>
        <x:v>2199</x:v>
      </x:c>
      <x:c r="G166" s="28" t="n">
        <x:f>SUMIFS('Categorias'!$F$4:$F$1347,'Categorias'!$E$4:$E$1347,B166,'Categorias'!$A$4:$A$1347,G$3)</x:f>
        <x:v>10064</x:v>
      </x:c>
      <x:c r="H166" s="28" t="n">
        <x:f>SUMIFS('Categorias'!$F$4:$F$1347,'Categorias'!$E$4:$E$1347,B166,'Categorias'!$A$4:$A$1347,H$3)</x:f>
        <x:v>3313</x:v>
      </x:c>
      <x:c r="I166" s="28" t="n">
        <x:f>SUMIFS('Categorias'!$F$4:$F$1347,'Categorias'!$E$4:$E$1347,B166,'Categorias'!$A$4:$A$1347,I$3)</x:f>
        <x:v>16599</x:v>
      </x:c>
      <x:c r="J166" s="28" t="n">
        <x:f>SUMIFS('Categorias'!$F$4:$F$1347,'Categorias'!$E$4:$E$1347,B166,'Categorias'!$A$4:$A$1347,J$3)</x:f>
        <x:v>2963</x:v>
      </x:c>
      <x:c r="K166" s="28" t="n">
        <x:f>SUMIFS('Categorias'!$F$4:$F$1347,'Categorias'!$E$4:$E$1347,B166,'Categorias'!$A$4:$A$1347,K$3)</x:f>
        <x:v>0</x:v>
      </x:c>
      <x:c r="L166" s="28" t="n">
        <x:f>SUMIFS('Categorias'!$F$4:$F$1347,'Categorias'!$E$4:$E$1347,B166,'Categorias'!$A$4:$A$1347,L$3)</x:f>
        <x:v>0</x:v>
      </x:c>
      <x:c r="M166" s="28" t="n">
        <x:f>SUMIFS('Categorias'!$F$4:$F$1347,'Categorias'!$E$4:$E$1347,B166,'Categorias'!$A$4:$A$1347,M$3)</x:f>
        <x:v>0</x:v>
      </x:c>
      <x:c r="N166" s="47" t="n">
        <x:f>SUMIFS('Categorias'!$F$4:$F$1347,'Categorias'!$E$4:$E$1347,B166,'Categorias'!$A$4:$A$1347,N$3)</x:f>
        <x:v>974</x:v>
      </x:c>
    </x:row>
    <x:row r="167">
      <x:c r="A167" s="39" t="n">
        <x:f>RANK.EQ(C167,$C$4:$C$273,0)</x:f>
        <x:v>164</x:v>
      </x:c>
      <x:c r="B167" s="40" t="str">
        <x:v>MakeOverBonk</x:v>
      </x:c>
      <x:c r="C167" s="28" t="n">
        <x:f>SUMIF('Categorias'!$E$4:$E$1347,B167,'Categorias'!$F$4:$F$1347)</x:f>
        <x:v>77976</x:v>
      </x:c>
      <x:c r="D167" s="28" t="n">
        <x:f>SUMIFS('Categorias'!$F$4:$F$1347,'Categorias'!$E$4:$E$1347,B167,'Categorias'!$A$4:$A$1347,D$3)</x:f>
        <x:v>77976</x:v>
      </x:c>
      <x:c r="E167" s="28" t="n">
        <x:f>SUMIFS('Categorias'!$F$4:$F$1347,'Categorias'!$E$4:$E$1347,B167,'Categorias'!$A$4:$A$1347,E$3)</x:f>
        <x:v>0</x:v>
      </x:c>
      <x:c r="F167" s="28" t="n">
        <x:f>SUMIFS('Categorias'!$F$4:$F$1347,'Categorias'!$E$4:$E$1347,B167,'Categorias'!$A$4:$A$1347,F$3)</x:f>
        <x:v>0</x:v>
      </x:c>
      <x:c r="G167" s="28" t="n">
        <x:f>SUMIFS('Categorias'!$F$4:$F$1347,'Categorias'!$E$4:$E$1347,B167,'Categorias'!$A$4:$A$1347,G$3)</x:f>
        <x:v>0</x:v>
      </x:c>
      <x:c r="H167" s="28" t="n">
        <x:f>SUMIFS('Categorias'!$F$4:$F$1347,'Categorias'!$E$4:$E$1347,B167,'Categorias'!$A$4:$A$1347,H$3)</x:f>
        <x:v>0</x:v>
      </x:c>
      <x:c r="I167" s="28" t="n">
        <x:f>SUMIFS('Categorias'!$F$4:$F$1347,'Categorias'!$E$4:$E$1347,B167,'Categorias'!$A$4:$A$1347,I$3)</x:f>
        <x:v>0</x:v>
      </x:c>
      <x:c r="J167" s="28" t="n">
        <x:f>SUMIFS('Categorias'!$F$4:$F$1347,'Categorias'!$E$4:$E$1347,B167,'Categorias'!$A$4:$A$1347,J$3)</x:f>
        <x:v>0</x:v>
      </x:c>
      <x:c r="K167" s="28" t="n">
        <x:f>SUMIFS('Categorias'!$F$4:$F$1347,'Categorias'!$E$4:$E$1347,B167,'Categorias'!$A$4:$A$1347,K$3)</x:f>
        <x:v>0</x:v>
      </x:c>
      <x:c r="L167" s="28" t="n">
        <x:f>SUMIFS('Categorias'!$F$4:$F$1347,'Categorias'!$E$4:$E$1347,B167,'Categorias'!$A$4:$A$1347,L$3)</x:f>
        <x:v>0</x:v>
      </x:c>
      <x:c r="M167" s="28" t="n">
        <x:f>SUMIFS('Categorias'!$F$4:$F$1347,'Categorias'!$E$4:$E$1347,B167,'Categorias'!$A$4:$A$1347,M$3)</x:f>
        <x:v>0</x:v>
      </x:c>
      <x:c r="N167" s="47" t="n">
        <x:f>SUMIFS('Categorias'!$F$4:$F$1347,'Categorias'!$E$4:$E$1347,B167,'Categorias'!$A$4:$A$1347,N$3)</x:f>
        <x:v>0</x:v>
      </x:c>
    </x:row>
    <x:row r="168">
      <x:c r="A168" s="39" t="n">
        <x:f>RANK.EQ(C168,$C$4:$C$273,0)</x:f>
        <x:v>165</x:v>
      </x:c>
      <x:c r="B168" s="40" t="str">
        <x:v>leonekilua</x:v>
      </x:c>
      <x:c r="C168" s="28" t="n">
        <x:f>SUMIF('Categorias'!$E$4:$E$1347,B168,'Categorias'!$F$4:$F$1347)</x:f>
        <x:v>76539</x:v>
      </x:c>
      <x:c r="D168" s="28" t="n">
        <x:f>SUMIFS('Categorias'!$F$4:$F$1347,'Categorias'!$E$4:$E$1347,B168,'Categorias'!$A$4:$A$1347,D$3)</x:f>
        <x:v>47257</x:v>
      </x:c>
      <x:c r="E168" s="28" t="n">
        <x:f>SUMIFS('Categorias'!$F$4:$F$1347,'Categorias'!$E$4:$E$1347,B168,'Categorias'!$A$4:$A$1347,E$3)</x:f>
        <x:v>3100</x:v>
      </x:c>
      <x:c r="F168" s="28" t="n">
        <x:f>SUMIFS('Categorias'!$F$4:$F$1347,'Categorias'!$E$4:$E$1347,B168,'Categorias'!$A$4:$A$1347,F$3)</x:f>
        <x:v>1857</x:v>
      </x:c>
      <x:c r="G168" s="28" t="n">
        <x:f>SUMIFS('Categorias'!$F$4:$F$1347,'Categorias'!$E$4:$E$1347,B168,'Categorias'!$A$4:$A$1347,G$3)</x:f>
        <x:v>0</x:v>
      </x:c>
      <x:c r="H168" s="28" t="n">
        <x:f>SUMIFS('Categorias'!$F$4:$F$1347,'Categorias'!$E$4:$E$1347,B168,'Categorias'!$A$4:$A$1347,H$3)</x:f>
        <x:v>5993</x:v>
      </x:c>
      <x:c r="I168" s="28" t="n">
        <x:f>SUMIFS('Categorias'!$F$4:$F$1347,'Categorias'!$E$4:$E$1347,B168,'Categorias'!$A$4:$A$1347,I$3)</x:f>
        <x:v>233</x:v>
      </x:c>
      <x:c r="J168" s="28" t="n">
        <x:f>SUMIFS('Categorias'!$F$4:$F$1347,'Categorias'!$E$4:$E$1347,B168,'Categorias'!$A$4:$A$1347,J$3)</x:f>
        <x:v>18099</x:v>
      </x:c>
      <x:c r="K168" s="28" t="n">
        <x:f>SUMIFS('Categorias'!$F$4:$F$1347,'Categorias'!$E$4:$E$1347,B168,'Categorias'!$A$4:$A$1347,K$3)</x:f>
        <x:v>0</x:v>
      </x:c>
      <x:c r="L168" s="28" t="n">
        <x:f>SUMIFS('Categorias'!$F$4:$F$1347,'Categorias'!$E$4:$E$1347,B168,'Categorias'!$A$4:$A$1347,L$3)</x:f>
        <x:v>0</x:v>
      </x:c>
      <x:c r="M168" s="28" t="n">
        <x:f>SUMIFS('Categorias'!$F$4:$F$1347,'Categorias'!$E$4:$E$1347,B168,'Categorias'!$A$4:$A$1347,M$3)</x:f>
        <x:v>0</x:v>
      </x:c>
      <x:c r="N168" s="47" t="n">
        <x:f>SUMIFS('Categorias'!$F$4:$F$1347,'Categorias'!$E$4:$E$1347,B168,'Categorias'!$A$4:$A$1347,N$3)</x:f>
        <x:v>0</x:v>
      </x:c>
    </x:row>
    <x:row r="169">
      <x:c r="A169" s="39" t="n">
        <x:f>RANK.EQ(C169,$C$4:$C$273,0)</x:f>
        <x:v>166</x:v>
      </x:c>
      <x:c r="B169" s="40" t="str">
        <x:v>BigKaHuNa</x:v>
      </x:c>
      <x:c r="C169" s="28" t="n">
        <x:f>SUMIF('Categorias'!$E$4:$E$1347,B169,'Categorias'!$F$4:$F$1347)</x:f>
        <x:v>75281</x:v>
      </x:c>
      <x:c r="D169" s="28" t="n">
        <x:f>SUMIFS('Categorias'!$F$4:$F$1347,'Categorias'!$E$4:$E$1347,B169,'Categorias'!$A$4:$A$1347,D$3)</x:f>
        <x:v>58891</x:v>
      </x:c>
      <x:c r="E169" s="28" t="n">
        <x:f>SUMIFS('Categorias'!$F$4:$F$1347,'Categorias'!$E$4:$E$1347,B169,'Categorias'!$A$4:$A$1347,E$3)</x:f>
        <x:v>5817</x:v>
      </x:c>
      <x:c r="F169" s="28" t="n">
        <x:f>SUMIFS('Categorias'!$F$4:$F$1347,'Categorias'!$E$4:$E$1347,B169,'Categorias'!$A$4:$A$1347,F$3)</x:f>
        <x:v>810</x:v>
      </x:c>
      <x:c r="G169" s="28" t="n">
        <x:f>SUMIFS('Categorias'!$F$4:$F$1347,'Categorias'!$E$4:$E$1347,B169,'Categorias'!$A$4:$A$1347,G$3)</x:f>
        <x:v>0</x:v>
      </x:c>
      <x:c r="H169" s="28" t="n">
        <x:f>SUMIFS('Categorias'!$F$4:$F$1347,'Categorias'!$E$4:$E$1347,B169,'Categorias'!$A$4:$A$1347,H$3)</x:f>
        <x:v>9481</x:v>
      </x:c>
      <x:c r="I169" s="28" t="n">
        <x:f>SUMIFS('Categorias'!$F$4:$F$1347,'Categorias'!$E$4:$E$1347,B169,'Categorias'!$A$4:$A$1347,I$3)</x:f>
        <x:v>282</x:v>
      </x:c>
      <x:c r="J169" s="28" t="n">
        <x:f>SUMIFS('Categorias'!$F$4:$F$1347,'Categorias'!$E$4:$E$1347,B169,'Categorias'!$A$4:$A$1347,J$3)</x:f>
        <x:v>0</x:v>
      </x:c>
      <x:c r="K169" s="28" t="n">
        <x:f>SUMIFS('Categorias'!$F$4:$F$1347,'Categorias'!$E$4:$E$1347,B169,'Categorias'!$A$4:$A$1347,K$3)</x:f>
        <x:v>0</x:v>
      </x:c>
      <x:c r="L169" s="28" t="n">
        <x:f>SUMIFS('Categorias'!$F$4:$F$1347,'Categorias'!$E$4:$E$1347,B169,'Categorias'!$A$4:$A$1347,L$3)</x:f>
        <x:v>0</x:v>
      </x:c>
      <x:c r="M169" s="28" t="n">
        <x:f>SUMIFS('Categorias'!$F$4:$F$1347,'Categorias'!$E$4:$E$1347,B169,'Categorias'!$A$4:$A$1347,M$3)</x:f>
        <x:v>0</x:v>
      </x:c>
      <x:c r="N169" s="47" t="n">
        <x:f>SUMIFS('Categorias'!$F$4:$F$1347,'Categorias'!$E$4:$E$1347,B169,'Categorias'!$A$4:$A$1347,N$3)</x:f>
        <x:v>0</x:v>
      </x:c>
    </x:row>
    <x:row r="170">
      <x:c r="A170" s="39" t="n">
        <x:f>RANK.EQ(C170,$C$4:$C$273,0)</x:f>
        <x:v>167</x:v>
      </x:c>
      <x:c r="B170" s="40" t="str">
        <x:v>executador</x:v>
      </x:c>
      <x:c r="C170" s="28" t="n">
        <x:f>SUMIF('Categorias'!$E$4:$E$1347,B170,'Categorias'!$F$4:$F$1347)</x:f>
        <x:v>71382</x:v>
      </x:c>
      <x:c r="D170" s="28" t="n">
        <x:f>SUMIFS('Categorias'!$F$4:$F$1347,'Categorias'!$E$4:$E$1347,B170,'Categorias'!$A$4:$A$1347,D$3)</x:f>
        <x:v>56420</x:v>
      </x:c>
      <x:c r="E170" s="28" t="n">
        <x:f>SUMIFS('Categorias'!$F$4:$F$1347,'Categorias'!$E$4:$E$1347,B170,'Categorias'!$A$4:$A$1347,E$3)</x:f>
        <x:v>4925</x:v>
      </x:c>
      <x:c r="F170" s="28" t="n">
        <x:f>SUMIFS('Categorias'!$F$4:$F$1347,'Categorias'!$E$4:$E$1347,B170,'Categorias'!$A$4:$A$1347,F$3)</x:f>
        <x:v>0</x:v>
      </x:c>
      <x:c r="G170" s="28" t="n">
        <x:f>SUMIFS('Categorias'!$F$4:$F$1347,'Categorias'!$E$4:$E$1347,B170,'Categorias'!$A$4:$A$1347,G$3)</x:f>
        <x:v>8623</x:v>
      </x:c>
      <x:c r="H170" s="28" t="n">
        <x:f>SUMIFS('Categorias'!$F$4:$F$1347,'Categorias'!$E$4:$E$1347,B170,'Categorias'!$A$4:$A$1347,H$3)</x:f>
        <x:v>877</x:v>
      </x:c>
      <x:c r="I170" s="28" t="n">
        <x:f>SUMIFS('Categorias'!$F$4:$F$1347,'Categorias'!$E$4:$E$1347,B170,'Categorias'!$A$4:$A$1347,I$3)</x:f>
        <x:v>191</x:v>
      </x:c>
      <x:c r="J170" s="28" t="n">
        <x:f>SUMIFS('Categorias'!$F$4:$F$1347,'Categorias'!$E$4:$E$1347,B170,'Categorias'!$A$4:$A$1347,J$3)</x:f>
        <x:v>346</x:v>
      </x:c>
      <x:c r="K170" s="28" t="n">
        <x:f>SUMIFS('Categorias'!$F$4:$F$1347,'Categorias'!$E$4:$E$1347,B170,'Categorias'!$A$4:$A$1347,K$3)</x:f>
        <x:v>0</x:v>
      </x:c>
      <x:c r="L170" s="28" t="n">
        <x:f>SUMIFS('Categorias'!$F$4:$F$1347,'Categorias'!$E$4:$E$1347,B170,'Categorias'!$A$4:$A$1347,L$3)</x:f>
        <x:v>0</x:v>
      </x:c>
      <x:c r="M170" s="28" t="n">
        <x:f>SUMIFS('Categorias'!$F$4:$F$1347,'Categorias'!$E$4:$E$1347,B170,'Categorias'!$A$4:$A$1347,M$3)</x:f>
        <x:v>0</x:v>
      </x:c>
      <x:c r="N170" s="47" t="n">
        <x:f>SUMIFS('Categorias'!$F$4:$F$1347,'Categorias'!$E$4:$E$1347,B170,'Categorias'!$A$4:$A$1347,N$3)</x:f>
        <x:v>0</x:v>
      </x:c>
    </x:row>
    <x:row r="171">
      <x:c r="A171" s="39" t="n">
        <x:f>RANK.EQ(C171,$C$4:$C$273,0)</x:f>
        <x:v>168</x:v>
      </x:c>
      <x:c r="B171" s="40" t="str">
        <x:v>OWERLORI123</x:v>
      </x:c>
      <x:c r="C171" s="28" t="n">
        <x:f>SUMIF('Categorias'!$E$4:$E$1347,B171,'Categorias'!$F$4:$F$1347)</x:f>
        <x:v>56068</x:v>
      </x:c>
      <x:c r="D171" s="28" t="n">
        <x:f>SUMIFS('Categorias'!$F$4:$F$1347,'Categorias'!$E$4:$E$1347,B171,'Categorias'!$A$4:$A$1347,D$3)</x:f>
        <x:v>37996</x:v>
      </x:c>
      <x:c r="E171" s="28" t="n">
        <x:f>SUMIFS('Categorias'!$F$4:$F$1347,'Categorias'!$E$4:$E$1347,B171,'Categorias'!$A$4:$A$1347,E$3)</x:f>
        <x:v>5249</x:v>
      </x:c>
      <x:c r="F171" s="28" t="n">
        <x:f>SUMIFS('Categorias'!$F$4:$F$1347,'Categorias'!$E$4:$E$1347,B171,'Categorias'!$A$4:$A$1347,F$3)</x:f>
        <x:v>0</x:v>
      </x:c>
      <x:c r="G171" s="28" t="n">
        <x:f>SUMIFS('Categorias'!$F$4:$F$1347,'Categorias'!$E$4:$E$1347,B171,'Categorias'!$A$4:$A$1347,G$3)</x:f>
        <x:v>8447</x:v>
      </x:c>
      <x:c r="H171" s="28" t="n">
        <x:f>SUMIFS('Categorias'!$F$4:$F$1347,'Categorias'!$E$4:$E$1347,B171,'Categorias'!$A$4:$A$1347,H$3)</x:f>
        <x:v>2713</x:v>
      </x:c>
      <x:c r="I171" s="28" t="n">
        <x:f>SUMIFS('Categorias'!$F$4:$F$1347,'Categorias'!$E$4:$E$1347,B171,'Categorias'!$A$4:$A$1347,I$3)</x:f>
        <x:v>849</x:v>
      </x:c>
      <x:c r="J171" s="28" t="n">
        <x:f>SUMIFS('Categorias'!$F$4:$F$1347,'Categorias'!$E$4:$E$1347,B171,'Categorias'!$A$4:$A$1347,J$3)</x:f>
        <x:v>814</x:v>
      </x:c>
      <x:c r="K171" s="28" t="n">
        <x:f>SUMIFS('Categorias'!$F$4:$F$1347,'Categorias'!$E$4:$E$1347,B171,'Categorias'!$A$4:$A$1347,K$3)</x:f>
        <x:v>0</x:v>
      </x:c>
      <x:c r="L171" s="28" t="n">
        <x:f>SUMIFS('Categorias'!$F$4:$F$1347,'Categorias'!$E$4:$E$1347,B171,'Categorias'!$A$4:$A$1347,L$3)</x:f>
        <x:v>0</x:v>
      </x:c>
      <x:c r="M171" s="28" t="n">
        <x:f>SUMIFS('Categorias'!$F$4:$F$1347,'Categorias'!$E$4:$E$1347,B171,'Categorias'!$A$4:$A$1347,M$3)</x:f>
        <x:v>0</x:v>
      </x:c>
      <x:c r="N171" s="47" t="n">
        <x:f>SUMIFS('Categorias'!$F$4:$F$1347,'Categorias'!$E$4:$E$1347,B171,'Categorias'!$A$4:$A$1347,N$3)</x:f>
        <x:v>0</x:v>
      </x:c>
    </x:row>
    <x:row r="172">
      <x:c r="A172" s="39" t="n">
        <x:f>RANK.EQ(C172,$C$4:$C$273,0)</x:f>
        <x:v>169</x:v>
      </x:c>
      <x:c r="B172" s="40" t="str">
        <x:v>Kytario</x:v>
      </x:c>
      <x:c r="C172" s="28" t="n">
        <x:f>SUMIF('Categorias'!$E$4:$E$1347,B172,'Categorias'!$F$4:$F$1347)</x:f>
        <x:v>53228</x:v>
      </x:c>
      <x:c r="D172" s="28" t="n">
        <x:f>SUMIFS('Categorias'!$F$4:$F$1347,'Categorias'!$E$4:$E$1347,B172,'Categorias'!$A$4:$A$1347,D$3)</x:f>
        <x:v>37465</x:v>
      </x:c>
      <x:c r="E172" s="28" t="n">
        <x:f>SUMIFS('Categorias'!$F$4:$F$1347,'Categorias'!$E$4:$E$1347,B172,'Categorias'!$A$4:$A$1347,E$3)</x:f>
        <x:v>7120</x:v>
      </x:c>
      <x:c r="F172" s="28" t="n">
        <x:f>SUMIFS('Categorias'!$F$4:$F$1347,'Categorias'!$E$4:$E$1347,B172,'Categorias'!$A$4:$A$1347,F$3)</x:f>
        <x:v>0</x:v>
      </x:c>
      <x:c r="G172" s="28" t="n">
        <x:f>SUMIFS('Categorias'!$F$4:$F$1347,'Categorias'!$E$4:$E$1347,B172,'Categorias'!$A$4:$A$1347,G$3)</x:f>
        <x:v>0</x:v>
      </x:c>
      <x:c r="H172" s="28" t="n">
        <x:f>SUMIFS('Categorias'!$F$4:$F$1347,'Categorias'!$E$4:$E$1347,B172,'Categorias'!$A$4:$A$1347,H$3)</x:f>
        <x:v>1878</x:v>
      </x:c>
      <x:c r="I172" s="28" t="n">
        <x:f>SUMIFS('Categorias'!$F$4:$F$1347,'Categorias'!$E$4:$E$1347,B172,'Categorias'!$A$4:$A$1347,I$3)</x:f>
        <x:v>0</x:v>
      </x:c>
      <x:c r="J172" s="28" t="n">
        <x:f>SUMIFS('Categorias'!$F$4:$F$1347,'Categorias'!$E$4:$E$1347,B172,'Categorias'!$A$4:$A$1347,J$3)</x:f>
        <x:v>6765</x:v>
      </x:c>
      <x:c r="K172" s="28" t="n">
        <x:f>SUMIFS('Categorias'!$F$4:$F$1347,'Categorias'!$E$4:$E$1347,B172,'Categorias'!$A$4:$A$1347,K$3)</x:f>
        <x:v>0</x:v>
      </x:c>
      <x:c r="L172" s="28" t="n">
        <x:f>SUMIFS('Categorias'!$F$4:$F$1347,'Categorias'!$E$4:$E$1347,B172,'Categorias'!$A$4:$A$1347,L$3)</x:f>
        <x:v>0</x:v>
      </x:c>
      <x:c r="M172" s="28" t="n">
        <x:f>SUMIFS('Categorias'!$F$4:$F$1347,'Categorias'!$E$4:$E$1347,B172,'Categorias'!$A$4:$A$1347,M$3)</x:f>
        <x:v>0</x:v>
      </x:c>
      <x:c r="N172" s="47" t="n">
        <x:f>SUMIFS('Categorias'!$F$4:$F$1347,'Categorias'!$E$4:$E$1347,B172,'Categorias'!$A$4:$A$1347,N$3)</x:f>
        <x:v>0</x:v>
      </x:c>
    </x:row>
    <x:row r="173">
      <x:c r="A173" s="39" t="n">
        <x:f>RANK.EQ(C173,$C$4:$C$273,0)</x:f>
        <x:v>170</x:v>
      </x:c>
      <x:c r="B173" s="40" t="str">
        <x:v>WillHue</x:v>
      </x:c>
      <x:c r="C173" s="28" t="n">
        <x:f>SUMIF('Categorias'!$E$4:$E$1347,B173,'Categorias'!$F$4:$F$1347)</x:f>
        <x:v>50584</x:v>
      </x:c>
      <x:c r="D173" s="28" t="n">
        <x:f>SUMIFS('Categorias'!$F$4:$F$1347,'Categorias'!$E$4:$E$1347,B173,'Categorias'!$A$4:$A$1347,D$3)</x:f>
        <x:v>43214</x:v>
      </x:c>
      <x:c r="E173" s="28" t="n">
        <x:f>SUMIFS('Categorias'!$F$4:$F$1347,'Categorias'!$E$4:$E$1347,B173,'Categorias'!$A$4:$A$1347,E$3)</x:f>
        <x:v>5085</x:v>
      </x:c>
      <x:c r="F173" s="28" t="n">
        <x:f>SUMIFS('Categorias'!$F$4:$F$1347,'Categorias'!$E$4:$E$1347,B173,'Categorias'!$A$4:$A$1347,F$3)</x:f>
        <x:v>0</x:v>
      </x:c>
      <x:c r="G173" s="28" t="n">
        <x:f>SUMIFS('Categorias'!$F$4:$F$1347,'Categorias'!$E$4:$E$1347,B173,'Categorias'!$A$4:$A$1347,G$3)</x:f>
        <x:v>0</x:v>
      </x:c>
      <x:c r="H173" s="28" t="n">
        <x:f>SUMIFS('Categorias'!$F$4:$F$1347,'Categorias'!$E$4:$E$1347,B173,'Categorias'!$A$4:$A$1347,H$3)</x:f>
        <x:v>1073</x:v>
      </x:c>
      <x:c r="I173" s="28" t="n">
        <x:f>SUMIFS('Categorias'!$F$4:$F$1347,'Categorias'!$E$4:$E$1347,B173,'Categorias'!$A$4:$A$1347,I$3)</x:f>
        <x:v>180</x:v>
      </x:c>
      <x:c r="J173" s="28" t="n">
        <x:f>SUMIFS('Categorias'!$F$4:$F$1347,'Categorias'!$E$4:$E$1347,B173,'Categorias'!$A$4:$A$1347,J$3)</x:f>
        <x:v>58</x:v>
      </x:c>
      <x:c r="K173" s="28" t="n">
        <x:f>SUMIFS('Categorias'!$F$4:$F$1347,'Categorias'!$E$4:$E$1347,B173,'Categorias'!$A$4:$A$1347,K$3)</x:f>
        <x:v>0</x:v>
      </x:c>
      <x:c r="L173" s="28" t="n">
        <x:f>SUMIFS('Categorias'!$F$4:$F$1347,'Categorias'!$E$4:$E$1347,B173,'Categorias'!$A$4:$A$1347,L$3)</x:f>
        <x:v>0</x:v>
      </x:c>
      <x:c r="M173" s="28" t="n">
        <x:f>SUMIFS('Categorias'!$F$4:$F$1347,'Categorias'!$E$4:$E$1347,B173,'Categorias'!$A$4:$A$1347,M$3)</x:f>
        <x:v>0</x:v>
      </x:c>
      <x:c r="N173" s="47" t="n">
        <x:f>SUMIFS('Categorias'!$F$4:$F$1347,'Categorias'!$E$4:$E$1347,B173,'Categorias'!$A$4:$A$1347,N$3)</x:f>
        <x:v>974</x:v>
      </x:c>
    </x:row>
    <x:row r="174">
      <x:c r="A174" s="39" t="n">
        <x:f>RANK.EQ(C174,$C$4:$C$273,0)</x:f>
        <x:v>171</x:v>
      </x:c>
      <x:c r="B174" s="40" t="str">
        <x:v>Sariely</x:v>
      </x:c>
      <x:c r="C174" s="28" t="n">
        <x:f>SUMIF('Categorias'!$E$4:$E$1347,B174,'Categorias'!$F$4:$F$1347)</x:f>
        <x:v>50565</x:v>
      </x:c>
      <x:c r="D174" s="28" t="n">
        <x:f>SUMIFS('Categorias'!$F$4:$F$1347,'Categorias'!$E$4:$E$1347,B174,'Categorias'!$A$4:$A$1347,D$3)</x:f>
        <x:v>50565</x:v>
      </x:c>
      <x:c r="E174" s="28" t="n">
        <x:f>SUMIFS('Categorias'!$F$4:$F$1347,'Categorias'!$E$4:$E$1347,B174,'Categorias'!$A$4:$A$1347,E$3)</x:f>
        <x:v>0</x:v>
      </x:c>
      <x:c r="F174" s="28" t="n">
        <x:f>SUMIFS('Categorias'!$F$4:$F$1347,'Categorias'!$E$4:$E$1347,B174,'Categorias'!$A$4:$A$1347,F$3)</x:f>
        <x:v>0</x:v>
      </x:c>
      <x:c r="G174" s="28" t="n">
        <x:f>SUMIFS('Categorias'!$F$4:$F$1347,'Categorias'!$E$4:$E$1347,B174,'Categorias'!$A$4:$A$1347,G$3)</x:f>
        <x:v>0</x:v>
      </x:c>
      <x:c r="H174" s="28" t="n">
        <x:f>SUMIFS('Categorias'!$F$4:$F$1347,'Categorias'!$E$4:$E$1347,B174,'Categorias'!$A$4:$A$1347,H$3)</x:f>
        <x:v>0</x:v>
      </x:c>
      <x:c r="I174" s="28" t="n">
        <x:f>SUMIFS('Categorias'!$F$4:$F$1347,'Categorias'!$E$4:$E$1347,B174,'Categorias'!$A$4:$A$1347,I$3)</x:f>
        <x:v>0</x:v>
      </x:c>
      <x:c r="J174" s="28" t="n">
        <x:f>SUMIFS('Categorias'!$F$4:$F$1347,'Categorias'!$E$4:$E$1347,B174,'Categorias'!$A$4:$A$1347,J$3)</x:f>
        <x:v>0</x:v>
      </x:c>
      <x:c r="K174" s="28" t="n">
        <x:f>SUMIFS('Categorias'!$F$4:$F$1347,'Categorias'!$E$4:$E$1347,B174,'Categorias'!$A$4:$A$1347,K$3)</x:f>
        <x:v>0</x:v>
      </x:c>
      <x:c r="L174" s="28" t="n">
        <x:f>SUMIFS('Categorias'!$F$4:$F$1347,'Categorias'!$E$4:$E$1347,B174,'Categorias'!$A$4:$A$1347,L$3)</x:f>
        <x:v>0</x:v>
      </x:c>
      <x:c r="M174" s="28" t="n">
        <x:f>SUMIFS('Categorias'!$F$4:$F$1347,'Categorias'!$E$4:$E$1347,B174,'Categorias'!$A$4:$A$1347,M$3)</x:f>
        <x:v>0</x:v>
      </x:c>
      <x:c r="N174" s="47" t="n">
        <x:f>SUMIFS('Categorias'!$F$4:$F$1347,'Categorias'!$E$4:$E$1347,B174,'Categorias'!$A$4:$A$1347,N$3)</x:f>
        <x:v>0</x:v>
      </x:c>
    </x:row>
    <x:row r="175">
      <x:c r="A175" s="39" t="n">
        <x:f>RANK.EQ(C175,$C$4:$C$273,0)</x:f>
        <x:v>172</x:v>
      </x:c>
      <x:c r="B175" s="40" t="str">
        <x:v>Sonjigolo</x:v>
      </x:c>
      <x:c r="C175" s="28" t="n">
        <x:f>SUMIF('Categorias'!$E$4:$E$1347,B175,'Categorias'!$F$4:$F$1347)</x:f>
        <x:v>49084</x:v>
      </x:c>
      <x:c r="D175" s="28" t="n">
        <x:f>SUMIFS('Categorias'!$F$4:$F$1347,'Categorias'!$E$4:$E$1347,B175,'Categorias'!$A$4:$A$1347,D$3)</x:f>
        <x:v>43018</x:v>
      </x:c>
      <x:c r="E175" s="28" t="n">
        <x:f>SUMIFS('Categorias'!$F$4:$F$1347,'Categorias'!$E$4:$E$1347,B175,'Categorias'!$A$4:$A$1347,E$3)</x:f>
        <x:v>3389</x:v>
      </x:c>
      <x:c r="F175" s="28" t="n">
        <x:f>SUMIFS('Categorias'!$F$4:$F$1347,'Categorias'!$E$4:$E$1347,B175,'Categorias'!$A$4:$A$1347,F$3)</x:f>
        <x:v>0</x:v>
      </x:c>
      <x:c r="G175" s="28" t="n">
        <x:f>SUMIFS('Categorias'!$F$4:$F$1347,'Categorias'!$E$4:$E$1347,B175,'Categorias'!$A$4:$A$1347,G$3)</x:f>
        <x:v>0</x:v>
      </x:c>
      <x:c r="H175" s="28" t="n">
        <x:f>SUMIFS('Categorias'!$F$4:$F$1347,'Categorias'!$E$4:$E$1347,B175,'Categorias'!$A$4:$A$1347,H$3)</x:f>
        <x:v>398</x:v>
      </x:c>
      <x:c r="I175" s="28" t="n">
        <x:f>SUMIFS('Categorias'!$F$4:$F$1347,'Categorias'!$E$4:$E$1347,B175,'Categorias'!$A$4:$A$1347,I$3)</x:f>
        <x:v>61</x:v>
      </x:c>
      <x:c r="J175" s="28" t="n">
        <x:f>SUMIFS('Categorias'!$F$4:$F$1347,'Categorias'!$E$4:$E$1347,B175,'Categorias'!$A$4:$A$1347,J$3)</x:f>
        <x:v>1607</x:v>
      </x:c>
      <x:c r="K175" s="28" t="n">
        <x:f>SUMIFS('Categorias'!$F$4:$F$1347,'Categorias'!$E$4:$E$1347,B175,'Categorias'!$A$4:$A$1347,K$3)</x:f>
        <x:v>433</x:v>
      </x:c>
      <x:c r="L175" s="28" t="n">
        <x:f>SUMIFS('Categorias'!$F$4:$F$1347,'Categorias'!$E$4:$E$1347,B175,'Categorias'!$A$4:$A$1347,L$3)</x:f>
        <x:v>0</x:v>
      </x:c>
      <x:c r="M175" s="28" t="n">
        <x:f>SUMIFS('Categorias'!$F$4:$F$1347,'Categorias'!$E$4:$E$1347,B175,'Categorias'!$A$4:$A$1347,M$3)</x:f>
        <x:v>178</x:v>
      </x:c>
      <x:c r="N175" s="47" t="n">
        <x:f>SUMIFS('Categorias'!$F$4:$F$1347,'Categorias'!$E$4:$E$1347,B175,'Categorias'!$A$4:$A$1347,N$3)</x:f>
        <x:v>0</x:v>
      </x:c>
    </x:row>
    <x:row r="176">
      <x:c r="A176" s="39" t="n">
        <x:f>RANK.EQ(C176,$C$4:$C$273,0)</x:f>
        <x:v>173</x:v>
      </x:c>
      <x:c r="B176" s="40" t="str">
        <x:v>Spotk</x:v>
      </x:c>
      <x:c r="C176" s="28" t="n">
        <x:f>SUMIF('Categorias'!$E$4:$E$1347,B176,'Categorias'!$F$4:$F$1347)</x:f>
        <x:v>47028</x:v>
      </x:c>
      <x:c r="D176" s="28" t="n">
        <x:f>SUMIFS('Categorias'!$F$4:$F$1347,'Categorias'!$E$4:$E$1347,B176,'Categorias'!$A$4:$A$1347,D$3)</x:f>
        <x:v>31846</x:v>
      </x:c>
      <x:c r="E176" s="28" t="n">
        <x:f>SUMIFS('Categorias'!$F$4:$F$1347,'Categorias'!$E$4:$E$1347,B176,'Categorias'!$A$4:$A$1347,E$3)</x:f>
        <x:v>677</x:v>
      </x:c>
      <x:c r="F176" s="28" t="n">
        <x:f>SUMIFS('Categorias'!$F$4:$F$1347,'Categorias'!$E$4:$E$1347,B176,'Categorias'!$A$4:$A$1347,F$3)</x:f>
        <x:v>0</x:v>
      </x:c>
      <x:c r="G176" s="28" t="n">
        <x:f>SUMIFS('Categorias'!$F$4:$F$1347,'Categorias'!$E$4:$E$1347,B176,'Categorias'!$A$4:$A$1347,G$3)</x:f>
        <x:v>0</x:v>
      </x:c>
      <x:c r="H176" s="28" t="n">
        <x:f>SUMIFS('Categorias'!$F$4:$F$1347,'Categorias'!$E$4:$E$1347,B176,'Categorias'!$A$4:$A$1347,H$3)</x:f>
        <x:v>327</x:v>
      </x:c>
      <x:c r="I176" s="28" t="n">
        <x:f>SUMIFS('Categorias'!$F$4:$F$1347,'Categorias'!$E$4:$E$1347,B176,'Categorias'!$A$4:$A$1347,I$3)</x:f>
        <x:v>11662</x:v>
      </x:c>
      <x:c r="J176" s="28" t="n">
        <x:f>SUMIFS('Categorias'!$F$4:$F$1347,'Categorias'!$E$4:$E$1347,B176,'Categorias'!$A$4:$A$1347,J$3)</x:f>
        <x:v>1542</x:v>
      </x:c>
      <x:c r="K176" s="28" t="n">
        <x:f>SUMIFS('Categorias'!$F$4:$F$1347,'Categorias'!$E$4:$E$1347,B176,'Categorias'!$A$4:$A$1347,K$3)</x:f>
        <x:v>0</x:v>
      </x:c>
      <x:c r="L176" s="28" t="n">
        <x:f>SUMIFS('Categorias'!$F$4:$F$1347,'Categorias'!$E$4:$E$1347,B176,'Categorias'!$A$4:$A$1347,L$3)</x:f>
        <x:v>0</x:v>
      </x:c>
      <x:c r="M176" s="28" t="n">
        <x:f>SUMIFS('Categorias'!$F$4:$F$1347,'Categorias'!$E$4:$E$1347,B176,'Categorias'!$A$4:$A$1347,M$3)</x:f>
        <x:v>0</x:v>
      </x:c>
      <x:c r="N176" s="47" t="n">
        <x:f>SUMIFS('Categorias'!$F$4:$F$1347,'Categorias'!$E$4:$E$1347,B176,'Categorias'!$A$4:$A$1347,N$3)</x:f>
        <x:v>974</x:v>
      </x:c>
    </x:row>
    <x:row r="177">
      <x:c r="A177" s="39" t="n">
        <x:f>RANK.EQ(C177,$C$4:$C$273,0)</x:f>
        <x:v>174</x:v>
      </x:c>
      <x:c r="B177" s="40" t="str">
        <x:v>Zicadas</x:v>
      </x:c>
      <x:c r="C177" s="28" t="n">
        <x:f>SUMIF('Categorias'!$E$4:$E$1347,B177,'Categorias'!$F$4:$F$1347)</x:f>
        <x:v>44596</x:v>
      </x:c>
      <x:c r="D177" s="28" t="n">
        <x:f>SUMIFS('Categorias'!$F$4:$F$1347,'Categorias'!$E$4:$E$1347,B177,'Categorias'!$A$4:$A$1347,D$3)</x:f>
        <x:v>39232</x:v>
      </x:c>
      <x:c r="E177" s="28" t="n">
        <x:f>SUMIFS('Categorias'!$F$4:$F$1347,'Categorias'!$E$4:$E$1347,B177,'Categorias'!$A$4:$A$1347,E$3)</x:f>
        <x:v>2080</x:v>
      </x:c>
      <x:c r="F177" s="28" t="n">
        <x:f>SUMIFS('Categorias'!$F$4:$F$1347,'Categorias'!$E$4:$E$1347,B177,'Categorias'!$A$4:$A$1347,F$3)</x:f>
        <x:v>0</x:v>
      </x:c>
      <x:c r="G177" s="28" t="n">
        <x:f>SUMIFS('Categorias'!$F$4:$F$1347,'Categorias'!$E$4:$E$1347,B177,'Categorias'!$A$4:$A$1347,G$3)</x:f>
        <x:v>0</x:v>
      </x:c>
      <x:c r="H177" s="28" t="n">
        <x:f>SUMIFS('Categorias'!$F$4:$F$1347,'Categorias'!$E$4:$E$1347,B177,'Categorias'!$A$4:$A$1347,H$3)</x:f>
        <x:v>1252</x:v>
      </x:c>
      <x:c r="I177" s="28" t="n">
        <x:f>SUMIFS('Categorias'!$F$4:$F$1347,'Categorias'!$E$4:$E$1347,B177,'Categorias'!$A$4:$A$1347,I$3)</x:f>
        <x:v>279</x:v>
      </x:c>
      <x:c r="J177" s="28" t="n">
        <x:f>SUMIFS('Categorias'!$F$4:$F$1347,'Categorias'!$E$4:$E$1347,B177,'Categorias'!$A$4:$A$1347,J$3)</x:f>
        <x:v>1753</x:v>
      </x:c>
      <x:c r="K177" s="28" t="n">
        <x:f>SUMIFS('Categorias'!$F$4:$F$1347,'Categorias'!$E$4:$E$1347,B177,'Categorias'!$A$4:$A$1347,K$3)</x:f>
        <x:v>0</x:v>
      </x:c>
      <x:c r="L177" s="28" t="n">
        <x:f>SUMIFS('Categorias'!$F$4:$F$1347,'Categorias'!$E$4:$E$1347,B177,'Categorias'!$A$4:$A$1347,L$3)</x:f>
        <x:v>0</x:v>
      </x:c>
      <x:c r="M177" s="28" t="n">
        <x:f>SUMIFS('Categorias'!$F$4:$F$1347,'Categorias'!$E$4:$E$1347,B177,'Categorias'!$A$4:$A$1347,M$3)</x:f>
        <x:v>0</x:v>
      </x:c>
      <x:c r="N177" s="47" t="n">
        <x:f>SUMIFS('Categorias'!$F$4:$F$1347,'Categorias'!$E$4:$E$1347,B177,'Categorias'!$A$4:$A$1347,N$3)</x:f>
        <x:v>0</x:v>
      </x:c>
    </x:row>
    <x:row r="178">
      <x:c r="A178" s="39" t="n">
        <x:f>RANK.EQ(C178,$C$4:$C$273,0)</x:f>
        <x:v>175</x:v>
      </x:c>
      <x:c r="B178" s="40" t="str">
        <x:v>Bijior</x:v>
      </x:c>
      <x:c r="C178" s="28" t="n">
        <x:f>SUMIF('Categorias'!$E$4:$E$1347,B178,'Categorias'!$F$4:$F$1347)</x:f>
        <x:v>41706</x:v>
      </x:c>
      <x:c r="D178" s="28" t="n">
        <x:f>SUMIFS('Categorias'!$F$4:$F$1347,'Categorias'!$E$4:$E$1347,B178,'Categorias'!$A$4:$A$1347,D$3)</x:f>
        <x:v>36962</x:v>
      </x:c>
      <x:c r="E178" s="28" t="n">
        <x:f>SUMIFS('Categorias'!$F$4:$F$1347,'Categorias'!$E$4:$E$1347,B178,'Categorias'!$A$4:$A$1347,E$3)</x:f>
        <x:v>249</x:v>
      </x:c>
      <x:c r="F178" s="28" t="n">
        <x:f>SUMIFS('Categorias'!$F$4:$F$1347,'Categorias'!$E$4:$E$1347,B178,'Categorias'!$A$4:$A$1347,F$3)</x:f>
        <x:v>0</x:v>
      </x:c>
      <x:c r="G178" s="28" t="n">
        <x:f>SUMIFS('Categorias'!$F$4:$F$1347,'Categorias'!$E$4:$E$1347,B178,'Categorias'!$A$4:$A$1347,G$3)</x:f>
        <x:v>0</x:v>
      </x:c>
      <x:c r="H178" s="28" t="n">
        <x:f>SUMIFS('Categorias'!$F$4:$F$1347,'Categorias'!$E$4:$E$1347,B178,'Categorias'!$A$4:$A$1347,H$3)</x:f>
        <x:v>835</x:v>
      </x:c>
      <x:c r="I178" s="28" t="n">
        <x:f>SUMIFS('Categorias'!$F$4:$F$1347,'Categorias'!$E$4:$E$1347,B178,'Categorias'!$A$4:$A$1347,I$3)</x:f>
        <x:v>0</x:v>
      </x:c>
      <x:c r="J178" s="28" t="n">
        <x:f>SUMIFS('Categorias'!$F$4:$F$1347,'Categorias'!$E$4:$E$1347,B178,'Categorias'!$A$4:$A$1347,J$3)</x:f>
        <x:v>3660</x:v>
      </x:c>
      <x:c r="K178" s="28" t="n">
        <x:f>SUMIFS('Categorias'!$F$4:$F$1347,'Categorias'!$E$4:$E$1347,B178,'Categorias'!$A$4:$A$1347,K$3)</x:f>
        <x:v>0</x:v>
      </x:c>
      <x:c r="L178" s="28" t="n">
        <x:f>SUMIFS('Categorias'!$F$4:$F$1347,'Categorias'!$E$4:$E$1347,B178,'Categorias'!$A$4:$A$1347,L$3)</x:f>
        <x:v>0</x:v>
      </x:c>
      <x:c r="M178" s="28" t="n">
        <x:f>SUMIFS('Categorias'!$F$4:$F$1347,'Categorias'!$E$4:$E$1347,B178,'Categorias'!$A$4:$A$1347,M$3)</x:f>
        <x:v>0</x:v>
      </x:c>
      <x:c r="N178" s="47" t="n">
        <x:f>SUMIFS('Categorias'!$F$4:$F$1347,'Categorias'!$E$4:$E$1347,B178,'Categorias'!$A$4:$A$1347,N$3)</x:f>
        <x:v>0</x:v>
      </x:c>
    </x:row>
    <x:row r="179">
      <x:c r="A179" s="39" t="n">
        <x:f>RANK.EQ(C179,$C$4:$C$273,0)</x:f>
        <x:v>176</x:v>
      </x:c>
      <x:c r="B179" s="40" t="str">
        <x:v>gusta23</x:v>
      </x:c>
      <x:c r="C179" s="28" t="n">
        <x:f>SUMIF('Categorias'!$E$4:$E$1347,B179,'Categorias'!$F$4:$F$1347)</x:f>
        <x:v>41654</x:v>
      </x:c>
      <x:c r="D179" s="28" t="n">
        <x:f>SUMIFS('Categorias'!$F$4:$F$1347,'Categorias'!$E$4:$E$1347,B179,'Categorias'!$A$4:$A$1347,D$3)</x:f>
        <x:v>36567</x:v>
      </x:c>
      <x:c r="E179" s="28" t="n">
        <x:f>SUMIFS('Categorias'!$F$4:$F$1347,'Categorias'!$E$4:$E$1347,B179,'Categorias'!$A$4:$A$1347,E$3)</x:f>
        <x:v>951</x:v>
      </x:c>
      <x:c r="F179" s="28" t="n">
        <x:f>SUMIFS('Categorias'!$F$4:$F$1347,'Categorias'!$E$4:$E$1347,B179,'Categorias'!$A$4:$A$1347,F$3)</x:f>
        <x:v>0</x:v>
      </x:c>
      <x:c r="G179" s="28" t="n">
        <x:f>SUMIFS('Categorias'!$F$4:$F$1347,'Categorias'!$E$4:$E$1347,B179,'Categorias'!$A$4:$A$1347,G$3)</x:f>
        <x:v>0</x:v>
      </x:c>
      <x:c r="H179" s="28" t="n">
        <x:f>SUMIFS('Categorias'!$F$4:$F$1347,'Categorias'!$E$4:$E$1347,B179,'Categorias'!$A$4:$A$1347,H$3)</x:f>
        <x:v>1044</x:v>
      </x:c>
      <x:c r="I179" s="28" t="n">
        <x:f>SUMIFS('Categorias'!$F$4:$F$1347,'Categorias'!$E$4:$E$1347,B179,'Categorias'!$A$4:$A$1347,I$3)</x:f>
        <x:v>71</x:v>
      </x:c>
      <x:c r="J179" s="28" t="n">
        <x:f>SUMIFS('Categorias'!$F$4:$F$1347,'Categorias'!$E$4:$E$1347,B179,'Categorias'!$A$4:$A$1347,J$3)</x:f>
        <x:v>3021</x:v>
      </x:c>
      <x:c r="K179" s="28" t="n">
        <x:f>SUMIFS('Categorias'!$F$4:$F$1347,'Categorias'!$E$4:$E$1347,B179,'Categorias'!$A$4:$A$1347,K$3)</x:f>
        <x:v>0</x:v>
      </x:c>
      <x:c r="L179" s="28" t="n">
        <x:f>SUMIFS('Categorias'!$F$4:$F$1347,'Categorias'!$E$4:$E$1347,B179,'Categorias'!$A$4:$A$1347,L$3)</x:f>
        <x:v>0</x:v>
      </x:c>
      <x:c r="M179" s="28" t="n">
        <x:f>SUMIFS('Categorias'!$F$4:$F$1347,'Categorias'!$E$4:$E$1347,B179,'Categorias'!$A$4:$A$1347,M$3)</x:f>
        <x:v>0</x:v>
      </x:c>
      <x:c r="N179" s="47" t="n">
        <x:f>SUMIFS('Categorias'!$F$4:$F$1347,'Categorias'!$E$4:$E$1347,B179,'Categorias'!$A$4:$A$1347,N$3)</x:f>
        <x:v>0</x:v>
      </x:c>
    </x:row>
    <x:row r="180">
      <x:c r="A180" s="39" t="n">
        <x:f>RANK.EQ(C180,$C$4:$C$273,0)</x:f>
        <x:v>177</x:v>
      </x:c>
      <x:c r="B180" s="40" t="str">
        <x:v>RUILEI</x:v>
      </x:c>
      <x:c r="C180" s="28" t="n">
        <x:f>SUMIF('Categorias'!$E$4:$E$1347,B180,'Categorias'!$F$4:$F$1347)</x:f>
        <x:v>40070</x:v>
      </x:c>
      <x:c r="D180" s="28" t="n">
        <x:f>SUMIFS('Categorias'!$F$4:$F$1347,'Categorias'!$E$4:$E$1347,B180,'Categorias'!$A$4:$A$1347,D$3)</x:f>
        <x:v>35211</x:v>
      </x:c>
      <x:c r="E180" s="28" t="n">
        <x:f>SUMIFS('Categorias'!$F$4:$F$1347,'Categorias'!$E$4:$E$1347,B180,'Categorias'!$A$4:$A$1347,E$3)</x:f>
        <x:v>4730</x:v>
      </x:c>
      <x:c r="F180" s="28" t="n">
        <x:f>SUMIFS('Categorias'!$F$4:$F$1347,'Categorias'!$E$4:$E$1347,B180,'Categorias'!$A$4:$A$1347,F$3)</x:f>
        <x:v>0</x:v>
      </x:c>
      <x:c r="G180" s="28" t="n">
        <x:f>SUMIFS('Categorias'!$F$4:$F$1347,'Categorias'!$E$4:$E$1347,B180,'Categorias'!$A$4:$A$1347,G$3)</x:f>
        <x:v>0</x:v>
      </x:c>
      <x:c r="H180" s="28" t="n">
        <x:f>SUMIFS('Categorias'!$F$4:$F$1347,'Categorias'!$E$4:$E$1347,B180,'Categorias'!$A$4:$A$1347,H$3)</x:f>
        <x:v>0</x:v>
      </x:c>
      <x:c r="I180" s="28" t="n">
        <x:f>SUMIFS('Categorias'!$F$4:$F$1347,'Categorias'!$E$4:$E$1347,B180,'Categorias'!$A$4:$A$1347,I$3)</x:f>
        <x:v>129</x:v>
      </x:c>
      <x:c r="J180" s="28" t="n">
        <x:f>SUMIFS('Categorias'!$F$4:$F$1347,'Categorias'!$E$4:$E$1347,B180,'Categorias'!$A$4:$A$1347,J$3)</x:f>
        <x:v>0</x:v>
      </x:c>
      <x:c r="K180" s="28" t="n">
        <x:f>SUMIFS('Categorias'!$F$4:$F$1347,'Categorias'!$E$4:$E$1347,B180,'Categorias'!$A$4:$A$1347,K$3)</x:f>
        <x:v>0</x:v>
      </x:c>
      <x:c r="L180" s="28" t="n">
        <x:f>SUMIFS('Categorias'!$F$4:$F$1347,'Categorias'!$E$4:$E$1347,B180,'Categorias'!$A$4:$A$1347,L$3)</x:f>
        <x:v>0</x:v>
      </x:c>
      <x:c r="M180" s="28" t="n">
        <x:f>SUMIFS('Categorias'!$F$4:$F$1347,'Categorias'!$E$4:$E$1347,B180,'Categorias'!$A$4:$A$1347,M$3)</x:f>
        <x:v>0</x:v>
      </x:c>
      <x:c r="N180" s="47" t="n">
        <x:f>SUMIFS('Categorias'!$F$4:$F$1347,'Categorias'!$E$4:$E$1347,B180,'Categorias'!$A$4:$A$1347,N$3)</x:f>
        <x:v>0</x:v>
      </x:c>
    </x:row>
    <x:row r="181">
      <x:c r="A181" s="39" t="n">
        <x:f>RANK.EQ(C181,$C$4:$C$273,0)</x:f>
        <x:v>178</x:v>
      </x:c>
      <x:c r="B181" s="40" t="str">
        <x:v>o</x:v>
      </x:c>
      <x:c r="C181" s="28" t="n">
        <x:f>SUMIF('Categorias'!$E$4:$E$1347,B181,'Categorias'!$F$4:$F$1347)</x:f>
        <x:v>39540</x:v>
      </x:c>
      <x:c r="D181" s="28" t="n">
        <x:f>SUMIFS('Categorias'!$F$4:$F$1347,'Categorias'!$E$4:$E$1347,B181,'Categorias'!$A$4:$A$1347,D$3)</x:f>
        <x:v>39540</x:v>
      </x:c>
      <x:c r="E181" s="28" t="n">
        <x:f>SUMIFS('Categorias'!$F$4:$F$1347,'Categorias'!$E$4:$E$1347,B181,'Categorias'!$A$4:$A$1347,E$3)</x:f>
        <x:v>0</x:v>
      </x:c>
      <x:c r="F181" s="28" t="n">
        <x:f>SUMIFS('Categorias'!$F$4:$F$1347,'Categorias'!$E$4:$E$1347,B181,'Categorias'!$A$4:$A$1347,F$3)</x:f>
        <x:v>0</x:v>
      </x:c>
      <x:c r="G181" s="28" t="n">
        <x:f>SUMIFS('Categorias'!$F$4:$F$1347,'Categorias'!$E$4:$E$1347,B181,'Categorias'!$A$4:$A$1347,G$3)</x:f>
        <x:v>0</x:v>
      </x:c>
      <x:c r="H181" s="28" t="n">
        <x:f>SUMIFS('Categorias'!$F$4:$F$1347,'Categorias'!$E$4:$E$1347,B181,'Categorias'!$A$4:$A$1347,H$3)</x:f>
        <x:v>0</x:v>
      </x:c>
      <x:c r="I181" s="28" t="n">
        <x:f>SUMIFS('Categorias'!$F$4:$F$1347,'Categorias'!$E$4:$E$1347,B181,'Categorias'!$A$4:$A$1347,I$3)</x:f>
        <x:v>0</x:v>
      </x:c>
      <x:c r="J181" s="28" t="n">
        <x:f>SUMIFS('Categorias'!$F$4:$F$1347,'Categorias'!$E$4:$E$1347,B181,'Categorias'!$A$4:$A$1347,J$3)</x:f>
        <x:v>0</x:v>
      </x:c>
      <x:c r="K181" s="28" t="n">
        <x:f>SUMIFS('Categorias'!$F$4:$F$1347,'Categorias'!$E$4:$E$1347,B181,'Categorias'!$A$4:$A$1347,K$3)</x:f>
        <x:v>0</x:v>
      </x:c>
      <x:c r="L181" s="28" t="n">
        <x:f>SUMIFS('Categorias'!$F$4:$F$1347,'Categorias'!$E$4:$E$1347,B181,'Categorias'!$A$4:$A$1347,L$3)</x:f>
        <x:v>0</x:v>
      </x:c>
      <x:c r="M181" s="28" t="n">
        <x:f>SUMIFS('Categorias'!$F$4:$F$1347,'Categorias'!$E$4:$E$1347,B181,'Categorias'!$A$4:$A$1347,M$3)</x:f>
        <x:v>0</x:v>
      </x:c>
      <x:c r="N181" s="47" t="n">
        <x:f>SUMIFS('Categorias'!$F$4:$F$1347,'Categorias'!$E$4:$E$1347,B181,'Categorias'!$A$4:$A$1347,N$3)</x:f>
        <x:v>0</x:v>
      </x:c>
    </x:row>
    <x:row r="182">
      <x:c r="A182" s="39" t="n">
        <x:f>RANK.EQ(C182,$C$4:$C$273,0)</x:f>
        <x:v>179</x:v>
      </x:c>
      <x:c r="B182" s="40" t="str">
        <x:v>elcondopassa</x:v>
      </x:c>
      <x:c r="C182" s="28" t="n">
        <x:f>SUMIF('Categorias'!$E$4:$E$1347,B182,'Categorias'!$F$4:$F$1347)</x:f>
        <x:v>38355</x:v>
      </x:c>
      <x:c r="D182" s="28" t="n">
        <x:f>SUMIFS('Categorias'!$F$4:$F$1347,'Categorias'!$E$4:$E$1347,B182,'Categorias'!$A$4:$A$1347,D$3)</x:f>
        <x:v>30062</x:v>
      </x:c>
      <x:c r="E182" s="28" t="n">
        <x:f>SUMIFS('Categorias'!$F$4:$F$1347,'Categorias'!$E$4:$E$1347,B182,'Categorias'!$A$4:$A$1347,E$3)</x:f>
        <x:v>8293</x:v>
      </x:c>
      <x:c r="F182" s="28" t="n">
        <x:f>SUMIFS('Categorias'!$F$4:$F$1347,'Categorias'!$E$4:$E$1347,B182,'Categorias'!$A$4:$A$1347,F$3)</x:f>
        <x:v>0</x:v>
      </x:c>
      <x:c r="G182" s="28" t="n">
        <x:f>SUMIFS('Categorias'!$F$4:$F$1347,'Categorias'!$E$4:$E$1347,B182,'Categorias'!$A$4:$A$1347,G$3)</x:f>
        <x:v>0</x:v>
      </x:c>
      <x:c r="H182" s="28" t="n">
        <x:f>SUMIFS('Categorias'!$F$4:$F$1347,'Categorias'!$E$4:$E$1347,B182,'Categorias'!$A$4:$A$1347,H$3)</x:f>
        <x:v>0</x:v>
      </x:c>
      <x:c r="I182" s="28" t="n">
        <x:f>SUMIFS('Categorias'!$F$4:$F$1347,'Categorias'!$E$4:$E$1347,B182,'Categorias'!$A$4:$A$1347,I$3)</x:f>
        <x:v>0</x:v>
      </x:c>
      <x:c r="J182" s="28" t="n">
        <x:f>SUMIFS('Categorias'!$F$4:$F$1347,'Categorias'!$E$4:$E$1347,B182,'Categorias'!$A$4:$A$1347,J$3)</x:f>
        <x:v>0</x:v>
      </x:c>
      <x:c r="K182" s="28" t="n">
        <x:f>SUMIFS('Categorias'!$F$4:$F$1347,'Categorias'!$E$4:$E$1347,B182,'Categorias'!$A$4:$A$1347,K$3)</x:f>
        <x:v>0</x:v>
      </x:c>
      <x:c r="L182" s="28" t="n">
        <x:f>SUMIFS('Categorias'!$F$4:$F$1347,'Categorias'!$E$4:$E$1347,B182,'Categorias'!$A$4:$A$1347,L$3)</x:f>
        <x:v>0</x:v>
      </x:c>
      <x:c r="M182" s="28" t="n">
        <x:f>SUMIFS('Categorias'!$F$4:$F$1347,'Categorias'!$E$4:$E$1347,B182,'Categorias'!$A$4:$A$1347,M$3)</x:f>
        <x:v>0</x:v>
      </x:c>
      <x:c r="N182" s="47" t="n">
        <x:f>SUMIFS('Categorias'!$F$4:$F$1347,'Categorias'!$E$4:$E$1347,B182,'Categorias'!$A$4:$A$1347,N$3)</x:f>
        <x:v>0</x:v>
      </x:c>
    </x:row>
    <x:row r="183">
      <x:c r="A183" s="39" t="n">
        <x:f>RANK.EQ(C183,$C$4:$C$273,0)</x:f>
        <x:v>180</x:v>
      </x:c>
      <x:c r="B183" s="40" t="str">
        <x:v>Porquitchona</x:v>
      </x:c>
      <x:c r="C183" s="28" t="n">
        <x:f>SUMIF('Categorias'!$E$4:$E$1347,B183,'Categorias'!$F$4:$F$1347)</x:f>
        <x:v>38208</x:v>
      </x:c>
      <x:c r="D183" s="28" t="n">
        <x:f>SUMIFS('Categorias'!$F$4:$F$1347,'Categorias'!$E$4:$E$1347,B183,'Categorias'!$A$4:$A$1347,D$3)</x:f>
        <x:v>27245</x:v>
      </x:c>
      <x:c r="E183" s="28" t="n">
        <x:f>SUMIFS('Categorias'!$F$4:$F$1347,'Categorias'!$E$4:$E$1347,B183,'Categorias'!$A$4:$A$1347,E$3)</x:f>
        <x:v>3161</x:v>
      </x:c>
      <x:c r="F183" s="28" t="n">
        <x:f>SUMIFS('Categorias'!$F$4:$F$1347,'Categorias'!$E$4:$E$1347,B183,'Categorias'!$A$4:$A$1347,F$3)</x:f>
        <x:v>0</x:v>
      </x:c>
      <x:c r="G183" s="28" t="n">
        <x:f>SUMIFS('Categorias'!$F$4:$F$1347,'Categorias'!$E$4:$E$1347,B183,'Categorias'!$A$4:$A$1347,G$3)</x:f>
        <x:v>3460</x:v>
      </x:c>
      <x:c r="H183" s="28" t="n">
        <x:f>SUMIFS('Categorias'!$F$4:$F$1347,'Categorias'!$E$4:$E$1347,B183,'Categorias'!$A$4:$A$1347,H$3)</x:f>
        <x:v>1289</x:v>
      </x:c>
      <x:c r="I183" s="28" t="n">
        <x:f>SUMIFS('Categorias'!$F$4:$F$1347,'Categorias'!$E$4:$E$1347,B183,'Categorias'!$A$4:$A$1347,I$3)</x:f>
        <x:v>90</x:v>
      </x:c>
      <x:c r="J183" s="28" t="n">
        <x:f>SUMIFS('Categorias'!$F$4:$F$1347,'Categorias'!$E$4:$E$1347,B183,'Categorias'!$A$4:$A$1347,J$3)</x:f>
        <x:v>2963</x:v>
      </x:c>
      <x:c r="K183" s="28" t="n">
        <x:f>SUMIFS('Categorias'!$F$4:$F$1347,'Categorias'!$E$4:$E$1347,B183,'Categorias'!$A$4:$A$1347,K$3)</x:f>
        <x:v>0</x:v>
      </x:c>
      <x:c r="L183" s="28" t="n">
        <x:f>SUMIFS('Categorias'!$F$4:$F$1347,'Categorias'!$E$4:$E$1347,B183,'Categorias'!$A$4:$A$1347,L$3)</x:f>
        <x:v>0</x:v>
      </x:c>
      <x:c r="M183" s="28" t="n">
        <x:f>SUMIFS('Categorias'!$F$4:$F$1347,'Categorias'!$E$4:$E$1347,B183,'Categorias'!$A$4:$A$1347,M$3)</x:f>
        <x:v>0</x:v>
      </x:c>
      <x:c r="N183" s="47" t="n">
        <x:f>SUMIFS('Categorias'!$F$4:$F$1347,'Categorias'!$E$4:$E$1347,B183,'Categorias'!$A$4:$A$1347,N$3)</x:f>
        <x:v>0</x:v>
      </x:c>
    </x:row>
    <x:row r="184">
      <x:c r="A184" s="39" t="n">
        <x:f>RANK.EQ(C184,$C$4:$C$273,0)</x:f>
        <x:v>181</x:v>
      </x:c>
      <x:c r="B184" s="40" t="str">
        <x:v>TheBad</x:v>
      </x:c>
      <x:c r="C184" s="28" t="n">
        <x:f>SUMIF('Categorias'!$E$4:$E$1347,B184,'Categorias'!$F$4:$F$1347)</x:f>
        <x:v>38192</x:v>
      </x:c>
      <x:c r="D184" s="28" t="n">
        <x:f>SUMIFS('Categorias'!$F$4:$F$1347,'Categorias'!$E$4:$E$1347,B184,'Categorias'!$A$4:$A$1347,D$3)</x:f>
        <x:v>24306</x:v>
      </x:c>
      <x:c r="E184" s="28" t="n">
        <x:f>SUMIFS('Categorias'!$F$4:$F$1347,'Categorias'!$E$4:$E$1347,B184,'Categorias'!$A$4:$A$1347,E$3)</x:f>
        <x:v>5607</x:v>
      </x:c>
      <x:c r="F184" s="28" t="n">
        <x:f>SUMIFS('Categorias'!$F$4:$F$1347,'Categorias'!$E$4:$E$1347,B184,'Categorias'!$A$4:$A$1347,F$3)</x:f>
        <x:v>0</x:v>
      </x:c>
      <x:c r="G184" s="28" t="n">
        <x:f>SUMIFS('Categorias'!$F$4:$F$1347,'Categorias'!$E$4:$E$1347,B184,'Categorias'!$A$4:$A$1347,G$3)</x:f>
        <x:v>0</x:v>
      </x:c>
      <x:c r="H184" s="28" t="n">
        <x:f>SUMIFS('Categorias'!$F$4:$F$1347,'Categorias'!$E$4:$E$1347,B184,'Categorias'!$A$4:$A$1347,H$3)</x:f>
        <x:v>2132</x:v>
      </x:c>
      <x:c r="I184" s="28" t="n">
        <x:f>SUMIFS('Categorias'!$F$4:$F$1347,'Categorias'!$E$4:$E$1347,B184,'Categorias'!$A$4:$A$1347,I$3)</x:f>
        <x:v>1712</x:v>
      </x:c>
      <x:c r="J184" s="28" t="n">
        <x:f>SUMIFS('Categorias'!$F$4:$F$1347,'Categorias'!$E$4:$E$1347,B184,'Categorias'!$A$4:$A$1347,J$3)</x:f>
        <x:v>4435</x:v>
      </x:c>
      <x:c r="K184" s="28" t="n">
        <x:f>SUMIFS('Categorias'!$F$4:$F$1347,'Categorias'!$E$4:$E$1347,B184,'Categorias'!$A$4:$A$1347,K$3)</x:f>
        <x:v>0</x:v>
      </x:c>
      <x:c r="L184" s="28" t="n">
        <x:f>SUMIFS('Categorias'!$F$4:$F$1347,'Categorias'!$E$4:$E$1347,B184,'Categorias'!$A$4:$A$1347,L$3)</x:f>
        <x:v>0</x:v>
      </x:c>
      <x:c r="M184" s="28" t="n">
        <x:f>SUMIFS('Categorias'!$F$4:$F$1347,'Categorias'!$E$4:$E$1347,B184,'Categorias'!$A$4:$A$1347,M$3)</x:f>
        <x:v>0</x:v>
      </x:c>
      <x:c r="N184" s="47" t="n">
        <x:f>SUMIFS('Categorias'!$F$4:$F$1347,'Categorias'!$E$4:$E$1347,B184,'Categorias'!$A$4:$A$1347,N$3)</x:f>
        <x:v>0</x:v>
      </x:c>
    </x:row>
    <x:row r="185">
      <x:c r="A185" s="39" t="n">
        <x:f>RANK.EQ(C185,$C$4:$C$273,0)</x:f>
        <x:v>182</x:v>
      </x:c>
      <x:c r="B185" s="40" t="str">
        <x:v>xotinhadecoco</x:v>
      </x:c>
      <x:c r="C185" s="28" t="n">
        <x:f>SUMIF('Categorias'!$E$4:$E$1347,B185,'Categorias'!$F$4:$F$1347)</x:f>
        <x:v>38184</x:v>
      </x:c>
      <x:c r="D185" s="28" t="n">
        <x:f>SUMIFS('Categorias'!$F$4:$F$1347,'Categorias'!$E$4:$E$1347,B185,'Categorias'!$A$4:$A$1347,D$3)</x:f>
        <x:v>31972</x:v>
      </x:c>
      <x:c r="E185" s="28" t="n">
        <x:f>SUMIFS('Categorias'!$F$4:$F$1347,'Categorias'!$E$4:$E$1347,B185,'Categorias'!$A$4:$A$1347,E$3)</x:f>
        <x:v>6212</x:v>
      </x:c>
      <x:c r="F185" s="28" t="n">
        <x:f>SUMIFS('Categorias'!$F$4:$F$1347,'Categorias'!$E$4:$E$1347,B185,'Categorias'!$A$4:$A$1347,F$3)</x:f>
        <x:v>0</x:v>
      </x:c>
      <x:c r="G185" s="28" t="n">
        <x:f>SUMIFS('Categorias'!$F$4:$F$1347,'Categorias'!$E$4:$E$1347,B185,'Categorias'!$A$4:$A$1347,G$3)</x:f>
        <x:v>0</x:v>
      </x:c>
      <x:c r="H185" s="28" t="n">
        <x:f>SUMIFS('Categorias'!$F$4:$F$1347,'Categorias'!$E$4:$E$1347,B185,'Categorias'!$A$4:$A$1347,H$3)</x:f>
        <x:v>0</x:v>
      </x:c>
      <x:c r="I185" s="28" t="n">
        <x:f>SUMIFS('Categorias'!$F$4:$F$1347,'Categorias'!$E$4:$E$1347,B185,'Categorias'!$A$4:$A$1347,I$3)</x:f>
        <x:v>0</x:v>
      </x:c>
      <x:c r="J185" s="28" t="n">
        <x:f>SUMIFS('Categorias'!$F$4:$F$1347,'Categorias'!$E$4:$E$1347,B185,'Categorias'!$A$4:$A$1347,J$3)</x:f>
        <x:v>0</x:v>
      </x:c>
      <x:c r="K185" s="28" t="n">
        <x:f>SUMIFS('Categorias'!$F$4:$F$1347,'Categorias'!$E$4:$E$1347,B185,'Categorias'!$A$4:$A$1347,K$3)</x:f>
        <x:v>0</x:v>
      </x:c>
      <x:c r="L185" s="28" t="n">
        <x:f>SUMIFS('Categorias'!$F$4:$F$1347,'Categorias'!$E$4:$E$1347,B185,'Categorias'!$A$4:$A$1347,L$3)</x:f>
        <x:v>0</x:v>
      </x:c>
      <x:c r="M185" s="28" t="n">
        <x:f>SUMIFS('Categorias'!$F$4:$F$1347,'Categorias'!$E$4:$E$1347,B185,'Categorias'!$A$4:$A$1347,M$3)</x:f>
        <x:v>0</x:v>
      </x:c>
      <x:c r="N185" s="47" t="n">
        <x:f>SUMIFS('Categorias'!$F$4:$F$1347,'Categorias'!$E$4:$E$1347,B185,'Categorias'!$A$4:$A$1347,N$3)</x:f>
        <x:v>0</x:v>
      </x:c>
    </x:row>
    <x:row r="186">
      <x:c r="A186" s="39" t="n">
        <x:f>RANK.EQ(C186,$C$4:$C$273,0)</x:f>
        <x:v>183</x:v>
      </x:c>
      <x:c r="B186" s="40" t="str">
        <x:v>Xiitos</x:v>
      </x:c>
      <x:c r="C186" s="28" t="n">
        <x:f>SUMIF('Categorias'!$E$4:$E$1347,B186,'Categorias'!$F$4:$F$1347)</x:f>
        <x:v>37544</x:v>
      </x:c>
      <x:c r="D186" s="28" t="n">
        <x:f>SUMIFS('Categorias'!$F$4:$F$1347,'Categorias'!$E$4:$E$1347,B186,'Categorias'!$A$4:$A$1347,D$3)</x:f>
        <x:v>36996</x:v>
      </x:c>
      <x:c r="E186" s="28" t="n">
        <x:f>SUMIFS('Categorias'!$F$4:$F$1347,'Categorias'!$E$4:$E$1347,B186,'Categorias'!$A$4:$A$1347,E$3)</x:f>
        <x:v>14</x:v>
      </x:c>
      <x:c r="F186" s="28" t="n">
        <x:f>SUMIFS('Categorias'!$F$4:$F$1347,'Categorias'!$E$4:$E$1347,B186,'Categorias'!$A$4:$A$1347,F$3)</x:f>
        <x:v>0</x:v>
      </x:c>
      <x:c r="G186" s="28" t="n">
        <x:f>SUMIFS('Categorias'!$F$4:$F$1347,'Categorias'!$E$4:$E$1347,B186,'Categorias'!$A$4:$A$1347,G$3)</x:f>
        <x:v>0</x:v>
      </x:c>
      <x:c r="H186" s="28" t="n">
        <x:f>SUMIFS('Categorias'!$F$4:$F$1347,'Categorias'!$E$4:$E$1347,B186,'Categorias'!$A$4:$A$1347,H$3)</x:f>
        <x:v>0</x:v>
      </x:c>
      <x:c r="I186" s="28" t="n">
        <x:f>SUMIFS('Categorias'!$F$4:$F$1347,'Categorias'!$E$4:$E$1347,B186,'Categorias'!$A$4:$A$1347,I$3)</x:f>
        <x:v>0</x:v>
      </x:c>
      <x:c r="J186" s="28" t="n">
        <x:f>SUMIFS('Categorias'!$F$4:$F$1347,'Categorias'!$E$4:$E$1347,B186,'Categorias'!$A$4:$A$1347,J$3)</x:f>
        <x:v>0</x:v>
      </x:c>
      <x:c r="K186" s="28" t="n">
        <x:f>SUMIFS('Categorias'!$F$4:$F$1347,'Categorias'!$E$4:$E$1347,B186,'Categorias'!$A$4:$A$1347,K$3)</x:f>
        <x:v>0</x:v>
      </x:c>
      <x:c r="L186" s="28" t="n">
        <x:f>SUMIFS('Categorias'!$F$4:$F$1347,'Categorias'!$E$4:$E$1347,B186,'Categorias'!$A$4:$A$1347,L$3)</x:f>
        <x:v>0</x:v>
      </x:c>
      <x:c r="M186" s="28" t="n">
        <x:f>SUMIFS('Categorias'!$F$4:$F$1347,'Categorias'!$E$4:$E$1347,B186,'Categorias'!$A$4:$A$1347,M$3)</x:f>
        <x:v>534</x:v>
      </x:c>
      <x:c r="N186" s="47" t="n">
        <x:f>SUMIFS('Categorias'!$F$4:$F$1347,'Categorias'!$E$4:$E$1347,B186,'Categorias'!$A$4:$A$1347,N$3)</x:f>
        <x:v>0</x:v>
      </x:c>
    </x:row>
    <x:row r="187">
      <x:c r="A187" s="39" t="n">
        <x:f>RANK.EQ(C187,$C$4:$C$273,0)</x:f>
        <x:v>184</x:v>
      </x:c>
      <x:c r="B187" s="40" t="str">
        <x:v>JowManojow</x:v>
      </x:c>
      <x:c r="C187" s="28" t="n">
        <x:f>SUMIF('Categorias'!$E$4:$E$1347,B187,'Categorias'!$F$4:$F$1347)</x:f>
        <x:v>37278</x:v>
      </x:c>
      <x:c r="D187" s="28" t="n">
        <x:f>SUMIFS('Categorias'!$F$4:$F$1347,'Categorias'!$E$4:$E$1347,B187,'Categorias'!$A$4:$A$1347,D$3)</x:f>
        <x:v>30609</x:v>
      </x:c>
      <x:c r="E187" s="28" t="n">
        <x:f>SUMIFS('Categorias'!$F$4:$F$1347,'Categorias'!$E$4:$E$1347,B187,'Categorias'!$A$4:$A$1347,E$3)</x:f>
        <x:v>2178</x:v>
      </x:c>
      <x:c r="F187" s="28" t="n">
        <x:f>SUMIFS('Categorias'!$F$4:$F$1347,'Categorias'!$E$4:$E$1347,B187,'Categorias'!$A$4:$A$1347,F$3)</x:f>
        <x:v>0</x:v>
      </x:c>
      <x:c r="G187" s="28" t="n">
        <x:f>SUMIFS('Categorias'!$F$4:$F$1347,'Categorias'!$E$4:$E$1347,B187,'Categorias'!$A$4:$A$1347,G$3)</x:f>
        <x:v>0</x:v>
      </x:c>
      <x:c r="H187" s="28" t="n">
        <x:f>SUMIFS('Categorias'!$F$4:$F$1347,'Categorias'!$E$4:$E$1347,B187,'Categorias'!$A$4:$A$1347,H$3)</x:f>
        <x:v>3906</x:v>
      </x:c>
      <x:c r="I187" s="28" t="n">
        <x:f>SUMIFS('Categorias'!$F$4:$F$1347,'Categorias'!$E$4:$E$1347,B187,'Categorias'!$A$4:$A$1347,I$3)</x:f>
        <x:v>0</x:v>
      </x:c>
      <x:c r="J187" s="28" t="n">
        <x:f>SUMIFS('Categorias'!$F$4:$F$1347,'Categorias'!$E$4:$E$1347,B187,'Categorias'!$A$4:$A$1347,J$3)</x:f>
        <x:v>0</x:v>
      </x:c>
      <x:c r="K187" s="28" t="n">
        <x:f>SUMIFS('Categorias'!$F$4:$F$1347,'Categorias'!$E$4:$E$1347,B187,'Categorias'!$A$4:$A$1347,K$3)</x:f>
        <x:v>0</x:v>
      </x:c>
      <x:c r="L187" s="28" t="n">
        <x:f>SUMIFS('Categorias'!$F$4:$F$1347,'Categorias'!$E$4:$E$1347,B187,'Categorias'!$A$4:$A$1347,L$3)</x:f>
        <x:v>198</x:v>
      </x:c>
      <x:c r="M187" s="28" t="n">
        <x:f>SUMIFS('Categorias'!$F$4:$F$1347,'Categorias'!$E$4:$E$1347,B187,'Categorias'!$A$4:$A$1347,M$3)</x:f>
        <x:v>0</x:v>
      </x:c>
      <x:c r="N187" s="47" t="n">
        <x:f>SUMIFS('Categorias'!$F$4:$F$1347,'Categorias'!$E$4:$E$1347,B187,'Categorias'!$A$4:$A$1347,N$3)</x:f>
        <x:v>0</x:v>
      </x:c>
    </x:row>
    <x:row r="188">
      <x:c r="A188" s="39" t="n">
        <x:f>RANK.EQ(C188,$C$4:$C$273,0)</x:f>
        <x:v>185</x:v>
      </x:c>
      <x:c r="B188" s="40" t="str">
        <x:v>Andrezao</x:v>
      </x:c>
      <x:c r="C188" s="28" t="n">
        <x:f>SUMIF('Categorias'!$E$4:$E$1347,B188,'Categorias'!$F$4:$F$1347)</x:f>
        <x:v>36477</x:v>
      </x:c>
      <x:c r="D188" s="28" t="n">
        <x:f>SUMIFS('Categorias'!$F$4:$F$1347,'Categorias'!$E$4:$E$1347,B188,'Categorias'!$A$4:$A$1347,D$3)</x:f>
        <x:v>36477</x:v>
      </x:c>
      <x:c r="E188" s="28" t="n">
        <x:f>SUMIFS('Categorias'!$F$4:$F$1347,'Categorias'!$E$4:$E$1347,B188,'Categorias'!$A$4:$A$1347,E$3)</x:f>
        <x:v>0</x:v>
      </x:c>
      <x:c r="F188" s="28" t="n">
        <x:f>SUMIFS('Categorias'!$F$4:$F$1347,'Categorias'!$E$4:$E$1347,B188,'Categorias'!$A$4:$A$1347,F$3)</x:f>
        <x:v>0</x:v>
      </x:c>
      <x:c r="G188" s="28" t="n">
        <x:f>SUMIFS('Categorias'!$F$4:$F$1347,'Categorias'!$E$4:$E$1347,B188,'Categorias'!$A$4:$A$1347,G$3)</x:f>
        <x:v>0</x:v>
      </x:c>
      <x:c r="H188" s="28" t="n">
        <x:f>SUMIFS('Categorias'!$F$4:$F$1347,'Categorias'!$E$4:$E$1347,B188,'Categorias'!$A$4:$A$1347,H$3)</x:f>
        <x:v>0</x:v>
      </x:c>
      <x:c r="I188" s="28" t="n">
        <x:f>SUMIFS('Categorias'!$F$4:$F$1347,'Categorias'!$E$4:$E$1347,B188,'Categorias'!$A$4:$A$1347,I$3)</x:f>
        <x:v>0</x:v>
      </x:c>
      <x:c r="J188" s="28" t="n">
        <x:f>SUMIFS('Categorias'!$F$4:$F$1347,'Categorias'!$E$4:$E$1347,B188,'Categorias'!$A$4:$A$1347,J$3)</x:f>
        <x:v>0</x:v>
      </x:c>
      <x:c r="K188" s="28" t="n">
        <x:f>SUMIFS('Categorias'!$F$4:$F$1347,'Categorias'!$E$4:$E$1347,B188,'Categorias'!$A$4:$A$1347,K$3)</x:f>
        <x:v>0</x:v>
      </x:c>
      <x:c r="L188" s="28" t="n">
        <x:f>SUMIFS('Categorias'!$F$4:$F$1347,'Categorias'!$E$4:$E$1347,B188,'Categorias'!$A$4:$A$1347,L$3)</x:f>
        <x:v>0</x:v>
      </x:c>
      <x:c r="M188" s="28" t="n">
        <x:f>SUMIFS('Categorias'!$F$4:$F$1347,'Categorias'!$E$4:$E$1347,B188,'Categorias'!$A$4:$A$1347,M$3)</x:f>
        <x:v>0</x:v>
      </x:c>
      <x:c r="N188" s="47" t="n">
        <x:f>SUMIFS('Categorias'!$F$4:$F$1347,'Categorias'!$E$4:$E$1347,B188,'Categorias'!$A$4:$A$1347,N$3)</x:f>
        <x:v>0</x:v>
      </x:c>
    </x:row>
    <x:row r="189">
      <x:c r="A189" s="39" t="n">
        <x:f>RANK.EQ(C189,$C$4:$C$273,0)</x:f>
        <x:v>186</x:v>
      </x:c>
      <x:c r="B189" s="40" t="str">
        <x:v>SShadowless</x:v>
      </x:c>
      <x:c r="C189" s="28" t="n">
        <x:f>SUMIF('Categorias'!$E$4:$E$1347,B189,'Categorias'!$F$4:$F$1347)</x:f>
        <x:v>34232</x:v>
      </x:c>
      <x:c r="D189" s="28" t="n">
        <x:f>SUMIFS('Categorias'!$F$4:$F$1347,'Categorias'!$E$4:$E$1347,B189,'Categorias'!$A$4:$A$1347,D$3)</x:f>
        <x:v>32611</x:v>
      </x:c>
      <x:c r="E189" s="28" t="n">
        <x:f>SUMIFS('Categorias'!$F$4:$F$1347,'Categorias'!$E$4:$E$1347,B189,'Categorias'!$A$4:$A$1347,E$3)</x:f>
        <x:v>279</x:v>
      </x:c>
      <x:c r="F189" s="28" t="n">
        <x:f>SUMIFS('Categorias'!$F$4:$F$1347,'Categorias'!$E$4:$E$1347,B189,'Categorias'!$A$4:$A$1347,F$3)</x:f>
        <x:v>0</x:v>
      </x:c>
      <x:c r="G189" s="28" t="n">
        <x:f>SUMIFS('Categorias'!$F$4:$F$1347,'Categorias'!$E$4:$E$1347,B189,'Categorias'!$A$4:$A$1347,G$3)</x:f>
        <x:v>0</x:v>
      </x:c>
      <x:c r="H189" s="28" t="n">
        <x:f>SUMIFS('Categorias'!$F$4:$F$1347,'Categorias'!$E$4:$E$1347,B189,'Categorias'!$A$4:$A$1347,H$3)</x:f>
        <x:v>814</x:v>
      </x:c>
      <x:c r="I189" s="28" t="n">
        <x:f>SUMIFS('Categorias'!$F$4:$F$1347,'Categorias'!$E$4:$E$1347,B189,'Categorias'!$A$4:$A$1347,I$3)</x:f>
        <x:v>0</x:v>
      </x:c>
      <x:c r="J189" s="28" t="n">
        <x:f>SUMIFS('Categorias'!$F$4:$F$1347,'Categorias'!$E$4:$E$1347,B189,'Categorias'!$A$4:$A$1347,J$3)</x:f>
        <x:v>0</x:v>
      </x:c>
      <x:c r="K189" s="28" t="n">
        <x:f>SUMIFS('Categorias'!$F$4:$F$1347,'Categorias'!$E$4:$E$1347,B189,'Categorias'!$A$4:$A$1347,K$3)</x:f>
        <x:v>0</x:v>
      </x:c>
      <x:c r="L189" s="28" t="n">
        <x:f>SUMIFS('Categorias'!$F$4:$F$1347,'Categorias'!$E$4:$E$1347,B189,'Categorias'!$A$4:$A$1347,L$3)</x:f>
        <x:v>528</x:v>
      </x:c>
      <x:c r="M189" s="28" t="n">
        <x:f>SUMIFS('Categorias'!$F$4:$F$1347,'Categorias'!$E$4:$E$1347,B189,'Categorias'!$A$4:$A$1347,M$3)</x:f>
        <x:v>0</x:v>
      </x:c>
      <x:c r="N189" s="47" t="n">
        <x:f>SUMIFS('Categorias'!$F$4:$F$1347,'Categorias'!$E$4:$E$1347,B189,'Categorias'!$A$4:$A$1347,N$3)</x:f>
        <x:v>0</x:v>
      </x:c>
    </x:row>
    <x:row r="190">
      <x:c r="A190" s="39" t="n">
        <x:f>RANK.EQ(C190,$C$4:$C$273,0)</x:f>
        <x:v>187</x:v>
      </x:c>
      <x:c r="B190" s="40" t="str">
        <x:v>yPROF</x:v>
      </x:c>
      <x:c r="C190" s="28" t="n">
        <x:f>SUMIF('Categorias'!$E$4:$E$1347,B190,'Categorias'!$F$4:$F$1347)</x:f>
        <x:v>34209</x:v>
      </x:c>
      <x:c r="D190" s="28" t="n">
        <x:f>SUMIFS('Categorias'!$F$4:$F$1347,'Categorias'!$E$4:$E$1347,B190,'Categorias'!$A$4:$A$1347,D$3)</x:f>
        <x:v>33908</x:v>
      </x:c>
      <x:c r="E190" s="28" t="n">
        <x:f>SUMIFS('Categorias'!$F$4:$F$1347,'Categorias'!$E$4:$E$1347,B190,'Categorias'!$A$4:$A$1347,E$3)</x:f>
        <x:v>301</x:v>
      </x:c>
      <x:c r="F190" s="28" t="n">
        <x:f>SUMIFS('Categorias'!$F$4:$F$1347,'Categorias'!$E$4:$E$1347,B190,'Categorias'!$A$4:$A$1347,F$3)</x:f>
        <x:v>0</x:v>
      </x:c>
      <x:c r="G190" s="28" t="n">
        <x:f>SUMIFS('Categorias'!$F$4:$F$1347,'Categorias'!$E$4:$E$1347,B190,'Categorias'!$A$4:$A$1347,G$3)</x:f>
        <x:v>0</x:v>
      </x:c>
      <x:c r="H190" s="28" t="n">
        <x:f>SUMIFS('Categorias'!$F$4:$F$1347,'Categorias'!$E$4:$E$1347,B190,'Categorias'!$A$4:$A$1347,H$3)</x:f>
        <x:v>0</x:v>
      </x:c>
      <x:c r="I190" s="28" t="n">
        <x:f>SUMIFS('Categorias'!$F$4:$F$1347,'Categorias'!$E$4:$E$1347,B190,'Categorias'!$A$4:$A$1347,I$3)</x:f>
        <x:v>0</x:v>
      </x:c>
      <x:c r="J190" s="28" t="n">
        <x:f>SUMIFS('Categorias'!$F$4:$F$1347,'Categorias'!$E$4:$E$1347,B190,'Categorias'!$A$4:$A$1347,J$3)</x:f>
        <x:v>0</x:v>
      </x:c>
      <x:c r="K190" s="28" t="n">
        <x:f>SUMIFS('Categorias'!$F$4:$F$1347,'Categorias'!$E$4:$E$1347,B190,'Categorias'!$A$4:$A$1347,K$3)</x:f>
        <x:v>0</x:v>
      </x:c>
      <x:c r="L190" s="28" t="n">
        <x:f>SUMIFS('Categorias'!$F$4:$F$1347,'Categorias'!$E$4:$E$1347,B190,'Categorias'!$A$4:$A$1347,L$3)</x:f>
        <x:v>0</x:v>
      </x:c>
      <x:c r="M190" s="28" t="n">
        <x:f>SUMIFS('Categorias'!$F$4:$F$1347,'Categorias'!$E$4:$E$1347,B190,'Categorias'!$A$4:$A$1347,M$3)</x:f>
        <x:v>0</x:v>
      </x:c>
      <x:c r="N190" s="47" t="n">
        <x:f>SUMIFS('Categorias'!$F$4:$F$1347,'Categorias'!$E$4:$E$1347,B190,'Categorias'!$A$4:$A$1347,N$3)</x:f>
        <x:v>0</x:v>
      </x:c>
    </x:row>
    <x:row r="191">
      <x:c r="A191" s="39" t="n">
        <x:f>RANK.EQ(C191,$C$4:$C$273,0)</x:f>
        <x:v>188</x:v>
      </x:c>
      <x:c r="B191" s="40" t="str">
        <x:v>TioTrymmi</x:v>
      </x:c>
      <x:c r="C191" s="28" t="n">
        <x:f>SUMIF('Categorias'!$E$4:$E$1347,B191,'Categorias'!$F$4:$F$1347)</x:f>
        <x:v>32275</x:v>
      </x:c>
      <x:c r="D191" s="28" t="n">
        <x:f>SUMIFS('Categorias'!$F$4:$F$1347,'Categorias'!$E$4:$E$1347,B191,'Categorias'!$A$4:$A$1347,D$3)</x:f>
        <x:v>11142</x:v>
      </x:c>
      <x:c r="E191" s="28" t="n">
        <x:f>SUMIFS('Categorias'!$F$4:$F$1347,'Categorias'!$E$4:$E$1347,B191,'Categorias'!$A$4:$A$1347,E$3)</x:f>
        <x:v>581</x:v>
      </x:c>
      <x:c r="F191" s="28" t="n">
        <x:f>SUMIFS('Categorias'!$F$4:$F$1347,'Categorias'!$E$4:$E$1347,B191,'Categorias'!$A$4:$A$1347,F$3)</x:f>
        <x:v>0</x:v>
      </x:c>
      <x:c r="G191" s="28" t="n">
        <x:f>SUMIFS('Categorias'!$F$4:$F$1347,'Categorias'!$E$4:$E$1347,B191,'Categorias'!$A$4:$A$1347,G$3)</x:f>
        <x:v>3980</x:v>
      </x:c>
      <x:c r="H191" s="28" t="n">
        <x:f>SUMIFS('Categorias'!$F$4:$F$1347,'Categorias'!$E$4:$E$1347,B191,'Categorias'!$A$4:$A$1347,H$3)</x:f>
        <x:v>1193</x:v>
      </x:c>
      <x:c r="I191" s="28" t="n">
        <x:f>SUMIFS('Categorias'!$F$4:$F$1347,'Categorias'!$E$4:$E$1347,B191,'Categorias'!$A$4:$A$1347,I$3)</x:f>
        <x:v>15379</x:v>
      </x:c>
      <x:c r="J191" s="28" t="n">
        <x:f>SUMIFS('Categorias'!$F$4:$F$1347,'Categorias'!$E$4:$E$1347,B191,'Categorias'!$A$4:$A$1347,J$3)</x:f>
        <x:v>0</x:v>
      </x:c>
      <x:c r="K191" s="28" t="n">
        <x:f>SUMIFS('Categorias'!$F$4:$F$1347,'Categorias'!$E$4:$E$1347,B191,'Categorias'!$A$4:$A$1347,K$3)</x:f>
        <x:v>0</x:v>
      </x:c>
      <x:c r="L191" s="28" t="n">
        <x:f>SUMIFS('Categorias'!$F$4:$F$1347,'Categorias'!$E$4:$E$1347,B191,'Categorias'!$A$4:$A$1347,L$3)</x:f>
        <x:v>0</x:v>
      </x:c>
      <x:c r="M191" s="28" t="n">
        <x:f>SUMIFS('Categorias'!$F$4:$F$1347,'Categorias'!$E$4:$E$1347,B191,'Categorias'!$A$4:$A$1347,M$3)</x:f>
        <x:v>0</x:v>
      </x:c>
      <x:c r="N191" s="47" t="n">
        <x:f>SUMIFS('Categorias'!$F$4:$F$1347,'Categorias'!$E$4:$E$1347,B191,'Categorias'!$A$4:$A$1347,N$3)</x:f>
        <x:v>0</x:v>
      </x:c>
    </x:row>
    <x:row r="192">
      <x:c r="A192" s="39" t="n">
        <x:f>RANK.EQ(C192,$C$4:$C$273,0)</x:f>
        <x:v>189</x:v>
      </x:c>
      <x:c r="B192" s="40" t="str">
        <x:v>Siriuslx7</x:v>
      </x:c>
      <x:c r="C192" s="28" t="n">
        <x:f>SUMIF('Categorias'!$E$4:$E$1347,B192,'Categorias'!$F$4:$F$1347)</x:f>
        <x:v>32109</x:v>
      </x:c>
      <x:c r="D192" s="28" t="n">
        <x:f>SUMIFS('Categorias'!$F$4:$F$1347,'Categorias'!$E$4:$E$1347,B192,'Categorias'!$A$4:$A$1347,D$3)</x:f>
        <x:v>31622</x:v>
      </x:c>
      <x:c r="E192" s="28" t="n">
        <x:f>SUMIFS('Categorias'!$F$4:$F$1347,'Categorias'!$E$4:$E$1347,B192,'Categorias'!$A$4:$A$1347,E$3)</x:f>
        <x:v>487</x:v>
      </x:c>
      <x:c r="F192" s="28" t="n">
        <x:f>SUMIFS('Categorias'!$F$4:$F$1347,'Categorias'!$E$4:$E$1347,B192,'Categorias'!$A$4:$A$1347,F$3)</x:f>
        <x:v>0</x:v>
      </x:c>
      <x:c r="G192" s="28" t="n">
        <x:f>SUMIFS('Categorias'!$F$4:$F$1347,'Categorias'!$E$4:$E$1347,B192,'Categorias'!$A$4:$A$1347,G$3)</x:f>
        <x:v>0</x:v>
      </x:c>
      <x:c r="H192" s="28" t="n">
        <x:f>SUMIFS('Categorias'!$F$4:$F$1347,'Categorias'!$E$4:$E$1347,B192,'Categorias'!$A$4:$A$1347,H$3)</x:f>
        <x:v>0</x:v>
      </x:c>
      <x:c r="I192" s="28" t="n">
        <x:f>SUMIFS('Categorias'!$F$4:$F$1347,'Categorias'!$E$4:$E$1347,B192,'Categorias'!$A$4:$A$1347,I$3)</x:f>
        <x:v>0</x:v>
      </x:c>
      <x:c r="J192" s="28" t="n">
        <x:f>SUMIFS('Categorias'!$F$4:$F$1347,'Categorias'!$E$4:$E$1347,B192,'Categorias'!$A$4:$A$1347,J$3)</x:f>
        <x:v>0</x:v>
      </x:c>
      <x:c r="K192" s="28" t="n">
        <x:f>SUMIFS('Categorias'!$F$4:$F$1347,'Categorias'!$E$4:$E$1347,B192,'Categorias'!$A$4:$A$1347,K$3)</x:f>
        <x:v>0</x:v>
      </x:c>
      <x:c r="L192" s="28" t="n">
        <x:f>SUMIFS('Categorias'!$F$4:$F$1347,'Categorias'!$E$4:$E$1347,B192,'Categorias'!$A$4:$A$1347,L$3)</x:f>
        <x:v>0</x:v>
      </x:c>
      <x:c r="M192" s="28" t="n">
        <x:f>SUMIFS('Categorias'!$F$4:$F$1347,'Categorias'!$E$4:$E$1347,B192,'Categorias'!$A$4:$A$1347,M$3)</x:f>
        <x:v>0</x:v>
      </x:c>
      <x:c r="N192" s="47" t="n">
        <x:f>SUMIFS('Categorias'!$F$4:$F$1347,'Categorias'!$E$4:$E$1347,B192,'Categorias'!$A$4:$A$1347,N$3)</x:f>
        <x:v>0</x:v>
      </x:c>
    </x:row>
    <x:row r="193">
      <x:c r="A193" s="39" t="n">
        <x:f>RANK.EQ(C193,$C$4:$C$273,0)</x:f>
        <x:v>190</x:v>
      </x:c>
      <x:c r="B193" s="40" t="str">
        <x:v>JJWAR</x:v>
      </x:c>
      <x:c r="C193" s="28" t="n">
        <x:f>SUMIF('Categorias'!$E$4:$E$1347,B193,'Categorias'!$F$4:$F$1347)</x:f>
        <x:v>29729</x:v>
      </x:c>
      <x:c r="D193" s="28" t="n">
        <x:f>SUMIFS('Categorias'!$F$4:$F$1347,'Categorias'!$E$4:$E$1347,B193,'Categorias'!$A$4:$A$1347,D$3)</x:f>
        <x:v>13675</x:v>
      </x:c>
      <x:c r="E193" s="28" t="n">
        <x:f>SUMIFS('Categorias'!$F$4:$F$1347,'Categorias'!$E$4:$E$1347,B193,'Categorias'!$A$4:$A$1347,E$3)</x:f>
        <x:v>2071</x:v>
      </x:c>
      <x:c r="F193" s="28" t="n">
        <x:f>SUMIFS('Categorias'!$F$4:$F$1347,'Categorias'!$E$4:$E$1347,B193,'Categorias'!$A$4:$A$1347,F$3)</x:f>
        <x:v>0</x:v>
      </x:c>
      <x:c r="G193" s="28" t="n">
        <x:f>SUMIFS('Categorias'!$F$4:$F$1347,'Categorias'!$E$4:$E$1347,B193,'Categorias'!$A$4:$A$1347,G$3)</x:f>
        <x:v>1508</x:v>
      </x:c>
      <x:c r="H193" s="28" t="n">
        <x:f>SUMIFS('Categorias'!$F$4:$F$1347,'Categorias'!$E$4:$E$1347,B193,'Categorias'!$A$4:$A$1347,H$3)</x:f>
        <x:v>258</x:v>
      </x:c>
      <x:c r="I193" s="28" t="n">
        <x:f>SUMIFS('Categorias'!$F$4:$F$1347,'Categorias'!$E$4:$E$1347,B193,'Categorias'!$A$4:$A$1347,I$3)</x:f>
        <x:v>11597</x:v>
      </x:c>
      <x:c r="J193" s="28" t="n">
        <x:f>SUMIFS('Categorias'!$F$4:$F$1347,'Categorias'!$E$4:$E$1347,B193,'Categorias'!$A$4:$A$1347,J$3)</x:f>
        <x:v>620</x:v>
      </x:c>
      <x:c r="K193" s="28" t="n">
        <x:f>SUMIFS('Categorias'!$F$4:$F$1347,'Categorias'!$E$4:$E$1347,B193,'Categorias'!$A$4:$A$1347,K$3)</x:f>
        <x:v>0</x:v>
      </x:c>
      <x:c r="L193" s="28" t="n">
        <x:f>SUMIFS('Categorias'!$F$4:$F$1347,'Categorias'!$E$4:$E$1347,B193,'Categorias'!$A$4:$A$1347,L$3)</x:f>
        <x:v>0</x:v>
      </x:c>
      <x:c r="M193" s="28" t="n">
        <x:f>SUMIFS('Categorias'!$F$4:$F$1347,'Categorias'!$E$4:$E$1347,B193,'Categorias'!$A$4:$A$1347,M$3)</x:f>
        <x:v>0</x:v>
      </x:c>
      <x:c r="N193" s="47" t="n">
        <x:f>SUMIFS('Categorias'!$F$4:$F$1347,'Categorias'!$E$4:$E$1347,B193,'Categorias'!$A$4:$A$1347,N$3)</x:f>
        <x:v>0</x:v>
      </x:c>
    </x:row>
    <x:row r="194">
      <x:c r="A194" s="39" t="n">
        <x:f>RANK.EQ(C194,$C$4:$C$273,0)</x:f>
        <x:v>191</x:v>
      </x:c>
      <x:c r="B194" s="40" t="str">
        <x:v>jotarokunBR78</x:v>
      </x:c>
      <x:c r="C194" s="28" t="n">
        <x:f>SUMIF('Categorias'!$E$4:$E$1347,B194,'Categorias'!$F$4:$F$1347)</x:f>
        <x:v>27282</x:v>
      </x:c>
      <x:c r="D194" s="28" t="n">
        <x:f>SUMIFS('Categorias'!$F$4:$F$1347,'Categorias'!$E$4:$E$1347,B194,'Categorias'!$A$4:$A$1347,D$3)</x:f>
        <x:v>23578</x:v>
      </x:c>
      <x:c r="E194" s="28" t="n">
        <x:f>SUMIFS('Categorias'!$F$4:$F$1347,'Categorias'!$E$4:$E$1347,B194,'Categorias'!$A$4:$A$1347,E$3)</x:f>
        <x:v>3008</x:v>
      </x:c>
      <x:c r="F194" s="28" t="n">
        <x:f>SUMIFS('Categorias'!$F$4:$F$1347,'Categorias'!$E$4:$E$1347,B194,'Categorias'!$A$4:$A$1347,F$3)</x:f>
        <x:v>0</x:v>
      </x:c>
      <x:c r="G194" s="28" t="n">
        <x:f>SUMIFS('Categorias'!$F$4:$F$1347,'Categorias'!$E$4:$E$1347,B194,'Categorias'!$A$4:$A$1347,G$3)</x:f>
        <x:v>0</x:v>
      </x:c>
      <x:c r="H194" s="28" t="n">
        <x:f>SUMIFS('Categorias'!$F$4:$F$1347,'Categorias'!$E$4:$E$1347,B194,'Categorias'!$A$4:$A$1347,H$3)</x:f>
        <x:v>696</x:v>
      </x:c>
      <x:c r="I194" s="28" t="n">
        <x:f>SUMIFS('Categorias'!$F$4:$F$1347,'Categorias'!$E$4:$E$1347,B194,'Categorias'!$A$4:$A$1347,I$3)</x:f>
        <x:v>0</x:v>
      </x:c>
      <x:c r="J194" s="28" t="n">
        <x:f>SUMIFS('Categorias'!$F$4:$F$1347,'Categorias'!$E$4:$E$1347,B194,'Categorias'!$A$4:$A$1347,J$3)</x:f>
        <x:v>0</x:v>
      </x:c>
      <x:c r="K194" s="28" t="n">
        <x:f>SUMIFS('Categorias'!$F$4:$F$1347,'Categorias'!$E$4:$E$1347,B194,'Categorias'!$A$4:$A$1347,K$3)</x:f>
        <x:v>0</x:v>
      </x:c>
      <x:c r="L194" s="28" t="n">
        <x:f>SUMIFS('Categorias'!$F$4:$F$1347,'Categorias'!$E$4:$E$1347,B194,'Categorias'!$A$4:$A$1347,L$3)</x:f>
        <x:v>0</x:v>
      </x:c>
      <x:c r="M194" s="28" t="n">
        <x:f>SUMIFS('Categorias'!$F$4:$F$1347,'Categorias'!$E$4:$E$1347,B194,'Categorias'!$A$4:$A$1347,M$3)</x:f>
        <x:v>0</x:v>
      </x:c>
      <x:c r="N194" s="47" t="n">
        <x:f>SUMIFS('Categorias'!$F$4:$F$1347,'Categorias'!$E$4:$E$1347,B194,'Categorias'!$A$4:$A$1347,N$3)</x:f>
        <x:v>0</x:v>
      </x:c>
    </x:row>
    <x:row r="195">
      <x:c r="A195" s="39" t="n">
        <x:f>RANK.EQ(C195,$C$4:$C$273,0)</x:f>
        <x:v>192</x:v>
      </x:c>
      <x:c r="B195" s="40" t="str">
        <x:v>ImTheBestOf</x:v>
      </x:c>
      <x:c r="C195" s="28" t="n">
        <x:f>SUMIF('Categorias'!$E$4:$E$1347,B195,'Categorias'!$F$4:$F$1347)</x:f>
        <x:v>26070</x:v>
      </x:c>
      <x:c r="D195" s="28" t="n">
        <x:f>SUMIFS('Categorias'!$F$4:$F$1347,'Categorias'!$E$4:$E$1347,B195,'Categorias'!$A$4:$A$1347,D$3)</x:f>
        <x:v>23023</x:v>
      </x:c>
      <x:c r="E195" s="28" t="n">
        <x:f>SUMIFS('Categorias'!$F$4:$F$1347,'Categorias'!$E$4:$E$1347,B195,'Categorias'!$A$4:$A$1347,E$3)</x:f>
        <x:v>0</x:v>
      </x:c>
      <x:c r="F195" s="28" t="n">
        <x:f>SUMIFS('Categorias'!$F$4:$F$1347,'Categorias'!$E$4:$E$1347,B195,'Categorias'!$A$4:$A$1347,F$3)</x:f>
        <x:v>0</x:v>
      </x:c>
      <x:c r="G195" s="28" t="n">
        <x:f>SUMIFS('Categorias'!$F$4:$F$1347,'Categorias'!$E$4:$E$1347,B195,'Categorias'!$A$4:$A$1347,G$3)</x:f>
        <x:v>0</x:v>
      </x:c>
      <x:c r="H195" s="28" t="n">
        <x:f>SUMIFS('Categorias'!$F$4:$F$1347,'Categorias'!$E$4:$E$1347,B195,'Categorias'!$A$4:$A$1347,H$3)</x:f>
        <x:v>984</x:v>
      </x:c>
      <x:c r="I195" s="28" t="n">
        <x:f>SUMIFS('Categorias'!$F$4:$F$1347,'Categorias'!$E$4:$E$1347,B195,'Categorias'!$A$4:$A$1347,I$3)</x:f>
        <x:v>0</x:v>
      </x:c>
      <x:c r="J195" s="28" t="n">
        <x:f>SUMIFS('Categorias'!$F$4:$F$1347,'Categorias'!$E$4:$E$1347,B195,'Categorias'!$A$4:$A$1347,J$3)</x:f>
        <x:v>0</x:v>
      </x:c>
      <x:c r="K195" s="28" t="n">
        <x:f>SUMIFS('Categorias'!$F$4:$F$1347,'Categorias'!$E$4:$E$1347,B195,'Categorias'!$A$4:$A$1347,K$3)</x:f>
        <x:v>0</x:v>
      </x:c>
      <x:c r="L195" s="28" t="n">
        <x:f>SUMIFS('Categorias'!$F$4:$F$1347,'Categorias'!$E$4:$E$1347,B195,'Categorias'!$A$4:$A$1347,L$3)</x:f>
        <x:v>0</x:v>
      </x:c>
      <x:c r="M195" s="28" t="n">
        <x:f>SUMIFS('Categorias'!$F$4:$F$1347,'Categorias'!$E$4:$E$1347,B195,'Categorias'!$A$4:$A$1347,M$3)</x:f>
        <x:v>0</x:v>
      </x:c>
      <x:c r="N195" s="47" t="n">
        <x:f>SUMIFS('Categorias'!$F$4:$F$1347,'Categorias'!$E$4:$E$1347,B195,'Categorias'!$A$4:$A$1347,N$3)</x:f>
        <x:v>0</x:v>
      </x:c>
    </x:row>
    <x:row r="196">
      <x:c r="A196" s="39" t="n">
        <x:f>RANK.EQ(C196,$C$4:$C$273,0)</x:f>
        <x:v>193</x:v>
      </x:c>
      <x:c r="B196" s="40" t="str">
        <x:v>Thevyr</x:v>
      </x:c>
      <x:c r="C196" s="28" t="n">
        <x:f>SUMIF('Categorias'!$E$4:$E$1347,B196,'Categorias'!$F$4:$F$1347)</x:f>
        <x:v>25774</x:v>
      </x:c>
      <x:c r="D196" s="28" t="n">
        <x:f>SUMIFS('Categorias'!$F$4:$F$1347,'Categorias'!$E$4:$E$1347,B196,'Categorias'!$A$4:$A$1347,D$3)</x:f>
        <x:v>25774</x:v>
      </x:c>
      <x:c r="E196" s="28" t="n">
        <x:f>SUMIFS('Categorias'!$F$4:$F$1347,'Categorias'!$E$4:$E$1347,B196,'Categorias'!$A$4:$A$1347,E$3)</x:f>
        <x:v>0</x:v>
      </x:c>
      <x:c r="F196" s="28" t="n">
        <x:f>SUMIFS('Categorias'!$F$4:$F$1347,'Categorias'!$E$4:$E$1347,B196,'Categorias'!$A$4:$A$1347,F$3)</x:f>
        <x:v>0</x:v>
      </x:c>
      <x:c r="G196" s="28" t="n">
        <x:f>SUMIFS('Categorias'!$F$4:$F$1347,'Categorias'!$E$4:$E$1347,B196,'Categorias'!$A$4:$A$1347,G$3)</x:f>
        <x:v>0</x:v>
      </x:c>
      <x:c r="H196" s="28" t="n">
        <x:f>SUMIFS('Categorias'!$F$4:$F$1347,'Categorias'!$E$4:$E$1347,B196,'Categorias'!$A$4:$A$1347,H$3)</x:f>
        <x:v>0</x:v>
      </x:c>
      <x:c r="I196" s="28" t="n">
        <x:f>SUMIFS('Categorias'!$F$4:$F$1347,'Categorias'!$E$4:$E$1347,B196,'Categorias'!$A$4:$A$1347,I$3)</x:f>
        <x:v>0</x:v>
      </x:c>
      <x:c r="J196" s="28" t="n">
        <x:f>SUMIFS('Categorias'!$F$4:$F$1347,'Categorias'!$E$4:$E$1347,B196,'Categorias'!$A$4:$A$1347,J$3)</x:f>
        <x:v>0</x:v>
      </x:c>
      <x:c r="K196" s="28" t="n">
        <x:f>SUMIFS('Categorias'!$F$4:$F$1347,'Categorias'!$E$4:$E$1347,B196,'Categorias'!$A$4:$A$1347,K$3)</x:f>
        <x:v>0</x:v>
      </x:c>
      <x:c r="L196" s="28" t="n">
        <x:f>SUMIFS('Categorias'!$F$4:$F$1347,'Categorias'!$E$4:$E$1347,B196,'Categorias'!$A$4:$A$1347,L$3)</x:f>
        <x:v>0</x:v>
      </x:c>
      <x:c r="M196" s="28" t="n">
        <x:f>SUMIFS('Categorias'!$F$4:$F$1347,'Categorias'!$E$4:$E$1347,B196,'Categorias'!$A$4:$A$1347,M$3)</x:f>
        <x:v>0</x:v>
      </x:c>
      <x:c r="N196" s="47" t="n">
        <x:f>SUMIFS('Categorias'!$F$4:$F$1347,'Categorias'!$E$4:$E$1347,B196,'Categorias'!$A$4:$A$1347,N$3)</x:f>
        <x:v>0</x:v>
      </x:c>
    </x:row>
    <x:row r="197">
      <x:c r="A197" s="39" t="n">
        <x:f>RANK.EQ(C197,$C$4:$C$273,0)</x:f>
        <x:v>194</x:v>
      </x:c>
      <x:c r="B197" s="40" t="str">
        <x:v>ONEGANO</x:v>
      </x:c>
      <x:c r="C197" s="28" t="n">
        <x:f>SUMIF('Categorias'!$E$4:$E$1347,B197,'Categorias'!$F$4:$F$1347)</x:f>
        <x:v>25599</x:v>
      </x:c>
      <x:c r="D197" s="28" t="n">
        <x:f>SUMIFS('Categorias'!$F$4:$F$1347,'Categorias'!$E$4:$E$1347,B197,'Categorias'!$A$4:$A$1347,D$3)</x:f>
        <x:v>25599</x:v>
      </x:c>
      <x:c r="E197" s="28" t="n">
        <x:f>SUMIFS('Categorias'!$F$4:$F$1347,'Categorias'!$E$4:$E$1347,B197,'Categorias'!$A$4:$A$1347,E$3)</x:f>
        <x:v>0</x:v>
      </x:c>
      <x:c r="F197" s="28" t="n">
        <x:f>SUMIFS('Categorias'!$F$4:$F$1347,'Categorias'!$E$4:$E$1347,B197,'Categorias'!$A$4:$A$1347,F$3)</x:f>
        <x:v>0</x:v>
      </x:c>
      <x:c r="G197" s="28" t="n">
        <x:f>SUMIFS('Categorias'!$F$4:$F$1347,'Categorias'!$E$4:$E$1347,B197,'Categorias'!$A$4:$A$1347,G$3)</x:f>
        <x:v>0</x:v>
      </x:c>
      <x:c r="H197" s="28" t="n">
        <x:f>SUMIFS('Categorias'!$F$4:$F$1347,'Categorias'!$E$4:$E$1347,B197,'Categorias'!$A$4:$A$1347,H$3)</x:f>
        <x:v>0</x:v>
      </x:c>
      <x:c r="I197" s="28" t="n">
        <x:f>SUMIFS('Categorias'!$F$4:$F$1347,'Categorias'!$E$4:$E$1347,B197,'Categorias'!$A$4:$A$1347,I$3)</x:f>
        <x:v>0</x:v>
      </x:c>
      <x:c r="J197" s="28" t="n">
        <x:f>SUMIFS('Categorias'!$F$4:$F$1347,'Categorias'!$E$4:$E$1347,B197,'Categorias'!$A$4:$A$1347,J$3)</x:f>
        <x:v>0</x:v>
      </x:c>
      <x:c r="K197" s="28" t="n">
        <x:f>SUMIFS('Categorias'!$F$4:$F$1347,'Categorias'!$E$4:$E$1347,B197,'Categorias'!$A$4:$A$1347,K$3)</x:f>
        <x:v>0</x:v>
      </x:c>
      <x:c r="L197" s="28" t="n">
        <x:f>SUMIFS('Categorias'!$F$4:$F$1347,'Categorias'!$E$4:$E$1347,B197,'Categorias'!$A$4:$A$1347,L$3)</x:f>
        <x:v>0</x:v>
      </x:c>
      <x:c r="M197" s="28" t="n">
        <x:f>SUMIFS('Categorias'!$F$4:$F$1347,'Categorias'!$E$4:$E$1347,B197,'Categorias'!$A$4:$A$1347,M$3)</x:f>
        <x:v>0</x:v>
      </x:c>
      <x:c r="N197" s="47" t="n">
        <x:f>SUMIFS('Categorias'!$F$4:$F$1347,'Categorias'!$E$4:$E$1347,B197,'Categorias'!$A$4:$A$1347,N$3)</x:f>
        <x:v>0</x:v>
      </x:c>
    </x:row>
    <x:row r="198">
      <x:c r="A198" s="39" t="n">
        <x:f>RANK.EQ(C198,$C$4:$C$273,0)</x:f>
        <x:v>195</x:v>
      </x:c>
      <x:c r="B198" s="40" t="str">
        <x:v>Toolsnew</x:v>
      </x:c>
      <x:c r="C198" s="28" t="n">
        <x:f>SUMIF('Categorias'!$E$4:$E$1347,B198,'Categorias'!$F$4:$F$1347)</x:f>
        <x:v>24236</x:v>
      </x:c>
      <x:c r="D198" s="28" t="n">
        <x:f>SUMIFS('Categorias'!$F$4:$F$1347,'Categorias'!$E$4:$E$1347,B198,'Categorias'!$A$4:$A$1347,D$3)</x:f>
        <x:v>22374</x:v>
      </x:c>
      <x:c r="E198" s="28" t="n">
        <x:f>SUMIFS('Categorias'!$F$4:$F$1347,'Categorias'!$E$4:$E$1347,B198,'Categorias'!$A$4:$A$1347,E$3)</x:f>
        <x:v>908</x:v>
      </x:c>
      <x:c r="F198" s="28" t="n">
        <x:f>SUMIFS('Categorias'!$F$4:$F$1347,'Categorias'!$E$4:$E$1347,B198,'Categorias'!$A$4:$A$1347,F$3)</x:f>
        <x:v>0</x:v>
      </x:c>
      <x:c r="G198" s="28" t="n">
        <x:f>SUMIFS('Categorias'!$F$4:$F$1347,'Categorias'!$E$4:$E$1347,B198,'Categorias'!$A$4:$A$1347,G$3)</x:f>
        <x:v>0</x:v>
      </x:c>
      <x:c r="H198" s="28" t="n">
        <x:f>SUMIFS('Categorias'!$F$4:$F$1347,'Categorias'!$E$4:$E$1347,B198,'Categorias'!$A$4:$A$1347,H$3)</x:f>
        <x:v>954</x:v>
      </x:c>
      <x:c r="I198" s="28" t="n">
        <x:f>SUMIFS('Categorias'!$F$4:$F$1347,'Categorias'!$E$4:$E$1347,B198,'Categorias'!$A$4:$A$1347,I$3)</x:f>
        <x:v>0</x:v>
      </x:c>
      <x:c r="J198" s="28" t="n">
        <x:f>SUMIFS('Categorias'!$F$4:$F$1347,'Categorias'!$E$4:$E$1347,B198,'Categorias'!$A$4:$A$1347,J$3)</x:f>
        <x:v>0</x:v>
      </x:c>
      <x:c r="K198" s="28" t="n">
        <x:f>SUMIFS('Categorias'!$F$4:$F$1347,'Categorias'!$E$4:$E$1347,B198,'Categorias'!$A$4:$A$1347,K$3)</x:f>
        <x:v>0</x:v>
      </x:c>
      <x:c r="L198" s="28" t="n">
        <x:f>SUMIFS('Categorias'!$F$4:$F$1347,'Categorias'!$E$4:$E$1347,B198,'Categorias'!$A$4:$A$1347,L$3)</x:f>
        <x:v>0</x:v>
      </x:c>
      <x:c r="M198" s="28" t="n">
        <x:f>SUMIFS('Categorias'!$F$4:$F$1347,'Categorias'!$E$4:$E$1347,B198,'Categorias'!$A$4:$A$1347,M$3)</x:f>
        <x:v>0</x:v>
      </x:c>
      <x:c r="N198" s="47" t="n">
        <x:f>SUMIFS('Categorias'!$F$4:$F$1347,'Categorias'!$E$4:$E$1347,B198,'Categorias'!$A$4:$A$1347,N$3)</x:f>
        <x:v>0</x:v>
      </x:c>
    </x:row>
    <x:row r="199">
      <x:c r="A199" s="39" t="n">
        <x:f>RANK.EQ(C199,$C$4:$C$273,0)</x:f>
        <x:v>196</x:v>
      </x:c>
      <x:c r="B199" s="40" t="str">
        <x:v>bezaina</x:v>
      </x:c>
      <x:c r="C199" s="28" t="n">
        <x:f>SUMIF('Categorias'!$E$4:$E$1347,B199,'Categorias'!$F$4:$F$1347)</x:f>
        <x:v>23783</x:v>
      </x:c>
      <x:c r="D199" s="28" t="n">
        <x:f>SUMIFS('Categorias'!$F$4:$F$1347,'Categorias'!$E$4:$E$1347,B199,'Categorias'!$A$4:$A$1347,D$3)</x:f>
        <x:v>23783</x:v>
      </x:c>
      <x:c r="E199" s="28" t="n">
        <x:f>SUMIFS('Categorias'!$F$4:$F$1347,'Categorias'!$E$4:$E$1347,B199,'Categorias'!$A$4:$A$1347,E$3)</x:f>
        <x:v>0</x:v>
      </x:c>
      <x:c r="F199" s="28" t="n">
        <x:f>SUMIFS('Categorias'!$F$4:$F$1347,'Categorias'!$E$4:$E$1347,B199,'Categorias'!$A$4:$A$1347,F$3)</x:f>
        <x:v>0</x:v>
      </x:c>
      <x:c r="G199" s="28" t="n">
        <x:f>SUMIFS('Categorias'!$F$4:$F$1347,'Categorias'!$E$4:$E$1347,B199,'Categorias'!$A$4:$A$1347,G$3)</x:f>
        <x:v>0</x:v>
      </x:c>
      <x:c r="H199" s="28" t="n">
        <x:f>SUMIFS('Categorias'!$F$4:$F$1347,'Categorias'!$E$4:$E$1347,B199,'Categorias'!$A$4:$A$1347,H$3)</x:f>
        <x:v>0</x:v>
      </x:c>
      <x:c r="I199" s="28" t="n">
        <x:f>SUMIFS('Categorias'!$F$4:$F$1347,'Categorias'!$E$4:$E$1347,B199,'Categorias'!$A$4:$A$1347,I$3)</x:f>
        <x:v>0</x:v>
      </x:c>
      <x:c r="J199" s="28" t="n">
        <x:f>SUMIFS('Categorias'!$F$4:$F$1347,'Categorias'!$E$4:$E$1347,B199,'Categorias'!$A$4:$A$1347,J$3)</x:f>
        <x:v>0</x:v>
      </x:c>
      <x:c r="K199" s="28" t="n">
        <x:f>SUMIFS('Categorias'!$F$4:$F$1347,'Categorias'!$E$4:$E$1347,B199,'Categorias'!$A$4:$A$1347,K$3)</x:f>
        <x:v>0</x:v>
      </x:c>
      <x:c r="L199" s="28" t="n">
        <x:f>SUMIFS('Categorias'!$F$4:$F$1347,'Categorias'!$E$4:$E$1347,B199,'Categorias'!$A$4:$A$1347,L$3)</x:f>
        <x:v>0</x:v>
      </x:c>
      <x:c r="M199" s="28" t="n">
        <x:f>SUMIFS('Categorias'!$F$4:$F$1347,'Categorias'!$E$4:$E$1347,B199,'Categorias'!$A$4:$A$1347,M$3)</x:f>
        <x:v>0</x:v>
      </x:c>
      <x:c r="N199" s="47" t="n">
        <x:f>SUMIFS('Categorias'!$F$4:$F$1347,'Categorias'!$E$4:$E$1347,B199,'Categorias'!$A$4:$A$1347,N$3)</x:f>
        <x:v>0</x:v>
      </x:c>
    </x:row>
    <x:row r="200">
      <x:c r="A200" s="39" t="n">
        <x:f>RANK.EQ(C200,$C$4:$C$273,0)</x:f>
        <x:v>197</x:v>
      </x:c>
      <x:c r="B200" s="40" t="str">
        <x:v>GLADIADOR</x:v>
      </x:c>
      <x:c r="C200" s="28" t="n">
        <x:f>SUMIF('Categorias'!$E$4:$E$1347,B200,'Categorias'!$F$4:$F$1347)</x:f>
        <x:v>22396</x:v>
      </x:c>
      <x:c r="D200" s="28" t="n">
        <x:f>SUMIFS('Categorias'!$F$4:$F$1347,'Categorias'!$E$4:$E$1347,B200,'Categorias'!$A$4:$A$1347,D$3)</x:f>
        <x:v>22396</x:v>
      </x:c>
      <x:c r="E200" s="28" t="n">
        <x:f>SUMIFS('Categorias'!$F$4:$F$1347,'Categorias'!$E$4:$E$1347,B200,'Categorias'!$A$4:$A$1347,E$3)</x:f>
        <x:v>0</x:v>
      </x:c>
      <x:c r="F200" s="28" t="n">
        <x:f>SUMIFS('Categorias'!$F$4:$F$1347,'Categorias'!$E$4:$E$1347,B200,'Categorias'!$A$4:$A$1347,F$3)</x:f>
        <x:v>0</x:v>
      </x:c>
      <x:c r="G200" s="28" t="n">
        <x:f>SUMIFS('Categorias'!$F$4:$F$1347,'Categorias'!$E$4:$E$1347,B200,'Categorias'!$A$4:$A$1347,G$3)</x:f>
        <x:v>0</x:v>
      </x:c>
      <x:c r="H200" s="28" t="n">
        <x:f>SUMIFS('Categorias'!$F$4:$F$1347,'Categorias'!$E$4:$E$1347,B200,'Categorias'!$A$4:$A$1347,H$3)</x:f>
        <x:v>0</x:v>
      </x:c>
      <x:c r="I200" s="28" t="n">
        <x:f>SUMIFS('Categorias'!$F$4:$F$1347,'Categorias'!$E$4:$E$1347,B200,'Categorias'!$A$4:$A$1347,I$3)</x:f>
        <x:v>0</x:v>
      </x:c>
      <x:c r="J200" s="28" t="n">
        <x:f>SUMIFS('Categorias'!$F$4:$F$1347,'Categorias'!$E$4:$E$1347,B200,'Categorias'!$A$4:$A$1347,J$3)</x:f>
        <x:v>0</x:v>
      </x:c>
      <x:c r="K200" s="28" t="n">
        <x:f>SUMIFS('Categorias'!$F$4:$F$1347,'Categorias'!$E$4:$E$1347,B200,'Categorias'!$A$4:$A$1347,K$3)</x:f>
        <x:v>0</x:v>
      </x:c>
      <x:c r="L200" s="28" t="n">
        <x:f>SUMIFS('Categorias'!$F$4:$F$1347,'Categorias'!$E$4:$E$1347,B200,'Categorias'!$A$4:$A$1347,L$3)</x:f>
        <x:v>0</x:v>
      </x:c>
      <x:c r="M200" s="28" t="n">
        <x:f>SUMIFS('Categorias'!$F$4:$F$1347,'Categorias'!$E$4:$E$1347,B200,'Categorias'!$A$4:$A$1347,M$3)</x:f>
        <x:v>0</x:v>
      </x:c>
      <x:c r="N200" s="47" t="n">
        <x:f>SUMIFS('Categorias'!$F$4:$F$1347,'Categorias'!$E$4:$E$1347,B200,'Categorias'!$A$4:$A$1347,N$3)</x:f>
        <x:v>0</x:v>
      </x:c>
    </x:row>
    <x:row r="201">
      <x:c r="A201" s="39" t="n">
        <x:f>RANK.EQ(C201,$C$4:$C$273,0)</x:f>
        <x:v>198</x:v>
      </x:c>
      <x:c r="B201" s="40" t="str">
        <x:v>jamaiquinha</x:v>
      </x:c>
      <x:c r="C201" s="28" t="n">
        <x:f>SUMIF('Categorias'!$E$4:$E$1347,B201,'Categorias'!$F$4:$F$1347)</x:f>
        <x:v>22349</x:v>
      </x:c>
      <x:c r="D201" s="28" t="n">
        <x:f>SUMIFS('Categorias'!$F$4:$F$1347,'Categorias'!$E$4:$E$1347,B201,'Categorias'!$A$4:$A$1347,D$3)</x:f>
        <x:v>19268</x:v>
      </x:c>
      <x:c r="E201" s="28" t="n">
        <x:f>SUMIFS('Categorias'!$F$4:$F$1347,'Categorias'!$E$4:$E$1347,B201,'Categorias'!$A$4:$A$1347,E$3)</x:f>
        <x:v>3081</x:v>
      </x:c>
      <x:c r="F201" s="28" t="n">
        <x:f>SUMIFS('Categorias'!$F$4:$F$1347,'Categorias'!$E$4:$E$1347,B201,'Categorias'!$A$4:$A$1347,F$3)</x:f>
        <x:v>0</x:v>
      </x:c>
      <x:c r="G201" s="28" t="n">
        <x:f>SUMIFS('Categorias'!$F$4:$F$1347,'Categorias'!$E$4:$E$1347,B201,'Categorias'!$A$4:$A$1347,G$3)</x:f>
        <x:v>0</x:v>
      </x:c>
      <x:c r="H201" s="28" t="n">
        <x:f>SUMIFS('Categorias'!$F$4:$F$1347,'Categorias'!$E$4:$E$1347,B201,'Categorias'!$A$4:$A$1347,H$3)</x:f>
        <x:v>0</x:v>
      </x:c>
      <x:c r="I201" s="28" t="n">
        <x:f>SUMIFS('Categorias'!$F$4:$F$1347,'Categorias'!$E$4:$E$1347,B201,'Categorias'!$A$4:$A$1347,I$3)</x:f>
        <x:v>0</x:v>
      </x:c>
      <x:c r="J201" s="28" t="n">
        <x:f>SUMIFS('Categorias'!$F$4:$F$1347,'Categorias'!$E$4:$E$1347,B201,'Categorias'!$A$4:$A$1347,J$3)</x:f>
        <x:v>0</x:v>
      </x:c>
      <x:c r="K201" s="28" t="n">
        <x:f>SUMIFS('Categorias'!$F$4:$F$1347,'Categorias'!$E$4:$E$1347,B201,'Categorias'!$A$4:$A$1347,K$3)</x:f>
        <x:v>0</x:v>
      </x:c>
      <x:c r="L201" s="28" t="n">
        <x:f>SUMIFS('Categorias'!$F$4:$F$1347,'Categorias'!$E$4:$E$1347,B201,'Categorias'!$A$4:$A$1347,L$3)</x:f>
        <x:v>0</x:v>
      </x:c>
      <x:c r="M201" s="28" t="n">
        <x:f>SUMIFS('Categorias'!$F$4:$F$1347,'Categorias'!$E$4:$E$1347,B201,'Categorias'!$A$4:$A$1347,M$3)</x:f>
        <x:v>0</x:v>
      </x:c>
      <x:c r="N201" s="47" t="n">
        <x:f>SUMIFS('Categorias'!$F$4:$F$1347,'Categorias'!$E$4:$E$1347,B201,'Categorias'!$A$4:$A$1347,N$3)</x:f>
        <x:v>0</x:v>
      </x:c>
    </x:row>
    <x:row r="202">
      <x:c r="A202" s="39" t="n">
        <x:f>RANK.EQ(C202,$C$4:$C$273,0)</x:f>
        <x:v>199</x:v>
      </x:c>
      <x:c r="B202" s="40" t="str">
        <x:v>GolpeBaixo</x:v>
      </x:c>
      <x:c r="C202" s="28" t="n">
        <x:f>SUMIF('Categorias'!$E$4:$E$1347,B202,'Categorias'!$F$4:$F$1347)</x:f>
        <x:v>22144</x:v>
      </x:c>
      <x:c r="D202" s="28" t="n">
        <x:f>SUMIFS('Categorias'!$F$4:$F$1347,'Categorias'!$E$4:$E$1347,B202,'Categorias'!$A$4:$A$1347,D$3)</x:f>
        <x:v>22144</x:v>
      </x:c>
      <x:c r="E202" s="28" t="n">
        <x:f>SUMIFS('Categorias'!$F$4:$F$1347,'Categorias'!$E$4:$E$1347,B202,'Categorias'!$A$4:$A$1347,E$3)</x:f>
        <x:v>0</x:v>
      </x:c>
      <x:c r="F202" s="28" t="n">
        <x:f>SUMIFS('Categorias'!$F$4:$F$1347,'Categorias'!$E$4:$E$1347,B202,'Categorias'!$A$4:$A$1347,F$3)</x:f>
        <x:v>0</x:v>
      </x:c>
      <x:c r="G202" s="28" t="n">
        <x:f>SUMIFS('Categorias'!$F$4:$F$1347,'Categorias'!$E$4:$E$1347,B202,'Categorias'!$A$4:$A$1347,G$3)</x:f>
        <x:v>0</x:v>
      </x:c>
      <x:c r="H202" s="28" t="n">
        <x:f>SUMIFS('Categorias'!$F$4:$F$1347,'Categorias'!$E$4:$E$1347,B202,'Categorias'!$A$4:$A$1347,H$3)</x:f>
        <x:v>0</x:v>
      </x:c>
      <x:c r="I202" s="28" t="n">
        <x:f>SUMIFS('Categorias'!$F$4:$F$1347,'Categorias'!$E$4:$E$1347,B202,'Categorias'!$A$4:$A$1347,I$3)</x:f>
        <x:v>0</x:v>
      </x:c>
      <x:c r="J202" s="28" t="n">
        <x:f>SUMIFS('Categorias'!$F$4:$F$1347,'Categorias'!$E$4:$E$1347,B202,'Categorias'!$A$4:$A$1347,J$3)</x:f>
        <x:v>0</x:v>
      </x:c>
      <x:c r="K202" s="28" t="n">
        <x:f>SUMIFS('Categorias'!$F$4:$F$1347,'Categorias'!$E$4:$E$1347,B202,'Categorias'!$A$4:$A$1347,K$3)</x:f>
        <x:v>0</x:v>
      </x:c>
      <x:c r="L202" s="28" t="n">
        <x:f>SUMIFS('Categorias'!$F$4:$F$1347,'Categorias'!$E$4:$E$1347,B202,'Categorias'!$A$4:$A$1347,L$3)</x:f>
        <x:v>0</x:v>
      </x:c>
      <x:c r="M202" s="28" t="n">
        <x:f>SUMIFS('Categorias'!$F$4:$F$1347,'Categorias'!$E$4:$E$1347,B202,'Categorias'!$A$4:$A$1347,M$3)</x:f>
        <x:v>0</x:v>
      </x:c>
      <x:c r="N202" s="47" t="n">
        <x:f>SUMIFS('Categorias'!$F$4:$F$1347,'Categorias'!$E$4:$E$1347,B202,'Categorias'!$A$4:$A$1347,N$3)</x:f>
        <x:v>0</x:v>
      </x:c>
    </x:row>
    <x:row r="203">
      <x:c r="A203" s="39" t="n">
        <x:f>RANK.EQ(C203,$C$4:$C$273,0)</x:f>
        <x:v>200</x:v>
      </x:c>
      <x:c r="B203" s="40" t="str">
        <x:v>mknjbh</x:v>
      </x:c>
      <x:c r="C203" s="28" t="n">
        <x:f>SUMIF('Categorias'!$E$4:$E$1347,B203,'Categorias'!$F$4:$F$1347)</x:f>
        <x:v>21161</x:v>
      </x:c>
      <x:c r="D203" s="28" t="n">
        <x:f>SUMIFS('Categorias'!$F$4:$F$1347,'Categorias'!$E$4:$E$1347,B203,'Categorias'!$A$4:$A$1347,D$3)</x:f>
        <x:v>19247</x:v>
      </x:c>
      <x:c r="E203" s="28" t="n">
        <x:f>SUMIFS('Categorias'!$F$4:$F$1347,'Categorias'!$E$4:$E$1347,B203,'Categorias'!$A$4:$A$1347,E$3)</x:f>
        <x:v>1397</x:v>
      </x:c>
      <x:c r="F203" s="28" t="n">
        <x:f>SUMIFS('Categorias'!$F$4:$F$1347,'Categorias'!$E$4:$E$1347,B203,'Categorias'!$A$4:$A$1347,F$3)</x:f>
        <x:v>0</x:v>
      </x:c>
      <x:c r="G203" s="28" t="n">
        <x:f>SUMIFS('Categorias'!$F$4:$F$1347,'Categorias'!$E$4:$E$1347,B203,'Categorias'!$A$4:$A$1347,G$3)</x:f>
        <x:v>0</x:v>
      </x:c>
      <x:c r="H203" s="28" t="n">
        <x:f>SUMIFS('Categorias'!$F$4:$F$1347,'Categorias'!$E$4:$E$1347,B203,'Categorias'!$A$4:$A$1347,H$3)</x:f>
        <x:v>517</x:v>
      </x:c>
      <x:c r="I203" s="28" t="n">
        <x:f>SUMIFS('Categorias'!$F$4:$F$1347,'Categorias'!$E$4:$E$1347,B203,'Categorias'!$A$4:$A$1347,I$3)</x:f>
        <x:v>0</x:v>
      </x:c>
      <x:c r="J203" s="28" t="n">
        <x:f>SUMIFS('Categorias'!$F$4:$F$1347,'Categorias'!$E$4:$E$1347,B203,'Categorias'!$A$4:$A$1347,J$3)</x:f>
        <x:v>0</x:v>
      </x:c>
      <x:c r="K203" s="28" t="n">
        <x:f>SUMIFS('Categorias'!$F$4:$F$1347,'Categorias'!$E$4:$E$1347,B203,'Categorias'!$A$4:$A$1347,K$3)</x:f>
        <x:v>0</x:v>
      </x:c>
      <x:c r="L203" s="28" t="n">
        <x:f>SUMIFS('Categorias'!$F$4:$F$1347,'Categorias'!$E$4:$E$1347,B203,'Categorias'!$A$4:$A$1347,L$3)</x:f>
        <x:v>0</x:v>
      </x:c>
      <x:c r="M203" s="28" t="n">
        <x:f>SUMIFS('Categorias'!$F$4:$F$1347,'Categorias'!$E$4:$E$1347,B203,'Categorias'!$A$4:$A$1347,M$3)</x:f>
        <x:v>0</x:v>
      </x:c>
      <x:c r="N203" s="47" t="n">
        <x:f>SUMIFS('Categorias'!$F$4:$F$1347,'Categorias'!$E$4:$E$1347,B203,'Categorias'!$A$4:$A$1347,N$3)</x:f>
        <x:v>0</x:v>
      </x:c>
    </x:row>
    <x:row r="204">
      <x:c r="A204" s="39" t="n">
        <x:f>RANK.EQ(C204,$C$4:$C$273,0)</x:f>
        <x:v>201</x:v>
      </x:c>
      <x:c r="B204" s="40" t="str">
        <x:v>Miliys</x:v>
      </x:c>
      <x:c r="C204" s="28" t="n">
        <x:f>SUMIF('Categorias'!$E$4:$E$1347,B204,'Categorias'!$F$4:$F$1347)</x:f>
        <x:v>20453</x:v>
      </x:c>
      <x:c r="D204" s="28" t="n">
        <x:f>SUMIFS('Categorias'!$F$4:$F$1347,'Categorias'!$E$4:$E$1347,B204,'Categorias'!$A$4:$A$1347,D$3)</x:f>
        <x:v>17656</x:v>
      </x:c>
      <x:c r="E204" s="28" t="n">
        <x:f>SUMIFS('Categorias'!$F$4:$F$1347,'Categorias'!$E$4:$E$1347,B204,'Categorias'!$A$4:$A$1347,E$3)</x:f>
        <x:v>1618</x:v>
      </x:c>
      <x:c r="F204" s="28" t="n">
        <x:f>SUMIFS('Categorias'!$F$4:$F$1347,'Categorias'!$E$4:$E$1347,B204,'Categorias'!$A$4:$A$1347,F$3)</x:f>
        <x:v>0</x:v>
      </x:c>
      <x:c r="G204" s="28" t="n">
        <x:f>SUMIFS('Categorias'!$F$4:$F$1347,'Categorias'!$E$4:$E$1347,B204,'Categorias'!$A$4:$A$1347,G$3)</x:f>
        <x:v>0</x:v>
      </x:c>
      <x:c r="H204" s="28" t="n">
        <x:f>SUMIFS('Categorias'!$F$4:$F$1347,'Categorias'!$E$4:$E$1347,B204,'Categorias'!$A$4:$A$1347,H$3)</x:f>
        <x:v>1113</x:v>
      </x:c>
      <x:c r="I204" s="28" t="n">
        <x:f>SUMIFS('Categorias'!$F$4:$F$1347,'Categorias'!$E$4:$E$1347,B204,'Categorias'!$A$4:$A$1347,I$3)</x:f>
        <x:v>66</x:v>
      </x:c>
      <x:c r="J204" s="28" t="n">
        <x:f>SUMIFS('Categorias'!$F$4:$F$1347,'Categorias'!$E$4:$E$1347,B204,'Categorias'!$A$4:$A$1347,J$3)</x:f>
        <x:v>0</x:v>
      </x:c>
      <x:c r="K204" s="28" t="n">
        <x:f>SUMIFS('Categorias'!$F$4:$F$1347,'Categorias'!$E$4:$E$1347,B204,'Categorias'!$A$4:$A$1347,K$3)</x:f>
        <x:v>0</x:v>
      </x:c>
      <x:c r="L204" s="28" t="n">
        <x:f>SUMIFS('Categorias'!$F$4:$F$1347,'Categorias'!$E$4:$E$1347,B204,'Categorias'!$A$4:$A$1347,L$3)</x:f>
        <x:v>0</x:v>
      </x:c>
      <x:c r="M204" s="28" t="n">
        <x:f>SUMIFS('Categorias'!$F$4:$F$1347,'Categorias'!$E$4:$E$1347,B204,'Categorias'!$A$4:$A$1347,M$3)</x:f>
        <x:v>0</x:v>
      </x:c>
      <x:c r="N204" s="47" t="n">
        <x:f>SUMIFS('Categorias'!$F$4:$F$1347,'Categorias'!$E$4:$E$1347,B204,'Categorias'!$A$4:$A$1347,N$3)</x:f>
        <x:v>0</x:v>
      </x:c>
    </x:row>
    <x:row r="205">
      <x:c r="A205" s="39" t="n">
        <x:f>RANK.EQ(C205,$C$4:$C$273,0)</x:f>
        <x:v>202</x:v>
      </x:c>
      <x:c r="B205" s="40" t="str">
        <x:v>BUNNYYKII</x:v>
      </x:c>
      <x:c r="C205" s="28" t="n">
        <x:f>SUMIF('Categorias'!$E$4:$E$1347,B205,'Categorias'!$F$4:$F$1347)</x:f>
        <x:v>19880</x:v>
      </x:c>
      <x:c r="D205" s="28" t="n">
        <x:f>SUMIFS('Categorias'!$F$4:$F$1347,'Categorias'!$E$4:$E$1347,B205,'Categorias'!$A$4:$A$1347,D$3)</x:f>
        <x:v>19811</x:v>
      </x:c>
      <x:c r="E205" s="28" t="n">
        <x:f>SUMIFS('Categorias'!$F$4:$F$1347,'Categorias'!$E$4:$E$1347,B205,'Categorias'!$A$4:$A$1347,E$3)</x:f>
        <x:v>69</x:v>
      </x:c>
      <x:c r="F205" s="28" t="n">
        <x:f>SUMIFS('Categorias'!$F$4:$F$1347,'Categorias'!$E$4:$E$1347,B205,'Categorias'!$A$4:$A$1347,F$3)</x:f>
        <x:v>0</x:v>
      </x:c>
      <x:c r="G205" s="28" t="n">
        <x:f>SUMIFS('Categorias'!$F$4:$F$1347,'Categorias'!$E$4:$E$1347,B205,'Categorias'!$A$4:$A$1347,G$3)</x:f>
        <x:v>0</x:v>
      </x:c>
      <x:c r="H205" s="28" t="n">
        <x:f>SUMIFS('Categorias'!$F$4:$F$1347,'Categorias'!$E$4:$E$1347,B205,'Categorias'!$A$4:$A$1347,H$3)</x:f>
        <x:v>0</x:v>
      </x:c>
      <x:c r="I205" s="28" t="n">
        <x:f>SUMIFS('Categorias'!$F$4:$F$1347,'Categorias'!$E$4:$E$1347,B205,'Categorias'!$A$4:$A$1347,I$3)</x:f>
        <x:v>0</x:v>
      </x:c>
      <x:c r="J205" s="28" t="n">
        <x:f>SUMIFS('Categorias'!$F$4:$F$1347,'Categorias'!$E$4:$E$1347,B205,'Categorias'!$A$4:$A$1347,J$3)</x:f>
        <x:v>0</x:v>
      </x:c>
      <x:c r="K205" s="28" t="n">
        <x:f>SUMIFS('Categorias'!$F$4:$F$1347,'Categorias'!$E$4:$E$1347,B205,'Categorias'!$A$4:$A$1347,K$3)</x:f>
        <x:v>0</x:v>
      </x:c>
      <x:c r="L205" s="28" t="n">
        <x:f>SUMIFS('Categorias'!$F$4:$F$1347,'Categorias'!$E$4:$E$1347,B205,'Categorias'!$A$4:$A$1347,L$3)</x:f>
        <x:v>0</x:v>
      </x:c>
      <x:c r="M205" s="28" t="n">
        <x:f>SUMIFS('Categorias'!$F$4:$F$1347,'Categorias'!$E$4:$E$1347,B205,'Categorias'!$A$4:$A$1347,M$3)</x:f>
        <x:v>0</x:v>
      </x:c>
      <x:c r="N205" s="47" t="n">
        <x:f>SUMIFS('Categorias'!$F$4:$F$1347,'Categorias'!$E$4:$E$1347,B205,'Categorias'!$A$4:$A$1347,N$3)</x:f>
        <x:v>0</x:v>
      </x:c>
    </x:row>
    <x:row r="206">
      <x:c r="A206" s="39" t="n">
        <x:f>RANK.EQ(C206,$C$4:$C$273,0)</x:f>
        <x:v>203</x:v>
      </x:c>
      <x:c r="B206" s="40" t="str">
        <x:v>Caiporaathenari</x:v>
      </x:c>
      <x:c r="C206" s="28" t="n">
        <x:f>SUMIF('Categorias'!$E$4:$E$1347,B206,'Categorias'!$F$4:$F$1347)</x:f>
        <x:v>18908</x:v>
      </x:c>
      <x:c r="D206" s="28" t="n">
        <x:f>SUMIFS('Categorias'!$F$4:$F$1347,'Categorias'!$E$4:$E$1347,B206,'Categorias'!$A$4:$A$1347,D$3)</x:f>
        <x:v>18908</x:v>
      </x:c>
      <x:c r="E206" s="28" t="n">
        <x:f>SUMIFS('Categorias'!$F$4:$F$1347,'Categorias'!$E$4:$E$1347,B206,'Categorias'!$A$4:$A$1347,E$3)</x:f>
        <x:v>0</x:v>
      </x:c>
      <x:c r="F206" s="28" t="n">
        <x:f>SUMIFS('Categorias'!$F$4:$F$1347,'Categorias'!$E$4:$E$1347,B206,'Categorias'!$A$4:$A$1347,F$3)</x:f>
        <x:v>0</x:v>
      </x:c>
      <x:c r="G206" s="28" t="n">
        <x:f>SUMIFS('Categorias'!$F$4:$F$1347,'Categorias'!$E$4:$E$1347,B206,'Categorias'!$A$4:$A$1347,G$3)</x:f>
        <x:v>0</x:v>
      </x:c>
      <x:c r="H206" s="28" t="n">
        <x:f>SUMIFS('Categorias'!$F$4:$F$1347,'Categorias'!$E$4:$E$1347,B206,'Categorias'!$A$4:$A$1347,H$3)</x:f>
        <x:v>0</x:v>
      </x:c>
      <x:c r="I206" s="28" t="n">
        <x:f>SUMIFS('Categorias'!$F$4:$F$1347,'Categorias'!$E$4:$E$1347,B206,'Categorias'!$A$4:$A$1347,I$3)</x:f>
        <x:v>0</x:v>
      </x:c>
      <x:c r="J206" s="28" t="n">
        <x:f>SUMIFS('Categorias'!$F$4:$F$1347,'Categorias'!$E$4:$E$1347,B206,'Categorias'!$A$4:$A$1347,J$3)</x:f>
        <x:v>0</x:v>
      </x:c>
      <x:c r="K206" s="28" t="n">
        <x:f>SUMIFS('Categorias'!$F$4:$F$1347,'Categorias'!$E$4:$E$1347,B206,'Categorias'!$A$4:$A$1347,K$3)</x:f>
        <x:v>0</x:v>
      </x:c>
      <x:c r="L206" s="28" t="n">
        <x:f>SUMIFS('Categorias'!$F$4:$F$1347,'Categorias'!$E$4:$E$1347,B206,'Categorias'!$A$4:$A$1347,L$3)</x:f>
        <x:v>0</x:v>
      </x:c>
      <x:c r="M206" s="28" t="n">
        <x:f>SUMIFS('Categorias'!$F$4:$F$1347,'Categorias'!$E$4:$E$1347,B206,'Categorias'!$A$4:$A$1347,M$3)</x:f>
        <x:v>0</x:v>
      </x:c>
      <x:c r="N206" s="47" t="n">
        <x:f>SUMIFS('Categorias'!$F$4:$F$1347,'Categorias'!$E$4:$E$1347,B206,'Categorias'!$A$4:$A$1347,N$3)</x:f>
        <x:v>0</x:v>
      </x:c>
    </x:row>
    <x:row r="207">
      <x:c r="A207" s="39" t="n">
        <x:f>RANK.EQ(C207,$C$4:$C$273,0)</x:f>
        <x:v>204</x:v>
      </x:c>
      <x:c r="B207" s="40" t="str">
        <x:v>Sekarlatt</x:v>
      </x:c>
      <x:c r="C207" s="28" t="n">
        <x:f>SUMIF('Categorias'!$E$4:$E$1347,B207,'Categorias'!$F$4:$F$1347)</x:f>
        <x:v>15640</x:v>
      </x:c>
      <x:c r="D207" s="28" t="n">
        <x:f>SUMIFS('Categorias'!$F$4:$F$1347,'Categorias'!$E$4:$E$1347,B207,'Categorias'!$A$4:$A$1347,D$3)</x:f>
        <x:v>15640</x:v>
      </x:c>
      <x:c r="E207" s="28" t="n">
        <x:f>SUMIFS('Categorias'!$F$4:$F$1347,'Categorias'!$E$4:$E$1347,B207,'Categorias'!$A$4:$A$1347,E$3)</x:f>
        <x:v>0</x:v>
      </x:c>
      <x:c r="F207" s="28" t="n">
        <x:f>SUMIFS('Categorias'!$F$4:$F$1347,'Categorias'!$E$4:$E$1347,B207,'Categorias'!$A$4:$A$1347,F$3)</x:f>
        <x:v>0</x:v>
      </x:c>
      <x:c r="G207" s="28" t="n">
        <x:f>SUMIFS('Categorias'!$F$4:$F$1347,'Categorias'!$E$4:$E$1347,B207,'Categorias'!$A$4:$A$1347,G$3)</x:f>
        <x:v>0</x:v>
      </x:c>
      <x:c r="H207" s="28" t="n">
        <x:f>SUMIFS('Categorias'!$F$4:$F$1347,'Categorias'!$E$4:$E$1347,B207,'Categorias'!$A$4:$A$1347,H$3)</x:f>
        <x:v>0</x:v>
      </x:c>
      <x:c r="I207" s="28" t="n">
        <x:f>SUMIFS('Categorias'!$F$4:$F$1347,'Categorias'!$E$4:$E$1347,B207,'Categorias'!$A$4:$A$1347,I$3)</x:f>
        <x:v>0</x:v>
      </x:c>
      <x:c r="J207" s="28" t="n">
        <x:f>SUMIFS('Categorias'!$F$4:$F$1347,'Categorias'!$E$4:$E$1347,B207,'Categorias'!$A$4:$A$1347,J$3)</x:f>
        <x:v>0</x:v>
      </x:c>
      <x:c r="K207" s="28" t="n">
        <x:f>SUMIFS('Categorias'!$F$4:$F$1347,'Categorias'!$E$4:$E$1347,B207,'Categorias'!$A$4:$A$1347,K$3)</x:f>
        <x:v>0</x:v>
      </x:c>
      <x:c r="L207" s="28" t="n">
        <x:f>SUMIFS('Categorias'!$F$4:$F$1347,'Categorias'!$E$4:$E$1347,B207,'Categorias'!$A$4:$A$1347,L$3)</x:f>
        <x:v>0</x:v>
      </x:c>
      <x:c r="M207" s="28" t="n">
        <x:f>SUMIFS('Categorias'!$F$4:$F$1347,'Categorias'!$E$4:$E$1347,B207,'Categorias'!$A$4:$A$1347,M$3)</x:f>
        <x:v>0</x:v>
      </x:c>
      <x:c r="N207" s="47" t="n">
        <x:f>SUMIFS('Categorias'!$F$4:$F$1347,'Categorias'!$E$4:$E$1347,B207,'Categorias'!$A$4:$A$1347,N$3)</x:f>
        <x:v>0</x:v>
      </x:c>
    </x:row>
    <x:row r="208">
      <x:c r="A208" s="39" t="n">
        <x:f>RANK.EQ(C208,$C$4:$C$273,0)</x:f>
        <x:v>205</x:v>
      </x:c>
      <x:c r="B208" s="40" t="str">
        <x:v>DinossauroDino</x:v>
      </x:c>
      <x:c r="C208" s="28" t="n">
        <x:f>SUMIF('Categorias'!$E$4:$E$1347,B208,'Categorias'!$F$4:$F$1347)</x:f>
        <x:v>14972</x:v>
      </x:c>
      <x:c r="D208" s="28" t="n">
        <x:f>SUMIFS('Categorias'!$F$4:$F$1347,'Categorias'!$E$4:$E$1347,B208,'Categorias'!$A$4:$A$1347,D$3)</x:f>
        <x:v>14913</x:v>
      </x:c>
      <x:c r="E208" s="28" t="n">
        <x:f>SUMIFS('Categorias'!$F$4:$F$1347,'Categorias'!$E$4:$E$1347,B208,'Categorias'!$A$4:$A$1347,E$3)</x:f>
        <x:v>59</x:v>
      </x:c>
      <x:c r="F208" s="28" t="n">
        <x:f>SUMIFS('Categorias'!$F$4:$F$1347,'Categorias'!$E$4:$E$1347,B208,'Categorias'!$A$4:$A$1347,F$3)</x:f>
        <x:v>0</x:v>
      </x:c>
      <x:c r="G208" s="28" t="n">
        <x:f>SUMIFS('Categorias'!$F$4:$F$1347,'Categorias'!$E$4:$E$1347,B208,'Categorias'!$A$4:$A$1347,G$3)</x:f>
        <x:v>0</x:v>
      </x:c>
      <x:c r="H208" s="28" t="n">
        <x:f>SUMIFS('Categorias'!$F$4:$F$1347,'Categorias'!$E$4:$E$1347,B208,'Categorias'!$A$4:$A$1347,H$3)</x:f>
        <x:v>0</x:v>
      </x:c>
      <x:c r="I208" s="28" t="n">
        <x:f>SUMIFS('Categorias'!$F$4:$F$1347,'Categorias'!$E$4:$E$1347,B208,'Categorias'!$A$4:$A$1347,I$3)</x:f>
        <x:v>0</x:v>
      </x:c>
      <x:c r="J208" s="28" t="n">
        <x:f>SUMIFS('Categorias'!$F$4:$F$1347,'Categorias'!$E$4:$E$1347,B208,'Categorias'!$A$4:$A$1347,J$3)</x:f>
        <x:v>0</x:v>
      </x:c>
      <x:c r="K208" s="28" t="n">
        <x:f>SUMIFS('Categorias'!$F$4:$F$1347,'Categorias'!$E$4:$E$1347,B208,'Categorias'!$A$4:$A$1347,K$3)</x:f>
        <x:v>0</x:v>
      </x:c>
      <x:c r="L208" s="28" t="n">
        <x:f>SUMIFS('Categorias'!$F$4:$F$1347,'Categorias'!$E$4:$E$1347,B208,'Categorias'!$A$4:$A$1347,L$3)</x:f>
        <x:v>0</x:v>
      </x:c>
      <x:c r="M208" s="28" t="n">
        <x:f>SUMIFS('Categorias'!$F$4:$F$1347,'Categorias'!$E$4:$E$1347,B208,'Categorias'!$A$4:$A$1347,M$3)</x:f>
        <x:v>0</x:v>
      </x:c>
      <x:c r="N208" s="47" t="n">
        <x:f>SUMIFS('Categorias'!$F$4:$F$1347,'Categorias'!$E$4:$E$1347,B208,'Categorias'!$A$4:$A$1347,N$3)</x:f>
        <x:v>0</x:v>
      </x:c>
    </x:row>
    <x:row r="209">
      <x:c r="A209" s="39" t="n">
        <x:f>RANK.EQ(C209,$C$4:$C$273,0)</x:f>
        <x:v>206</x:v>
      </x:c>
      <x:c r="B209" s="40" t="str">
        <x:v>diovolo</x:v>
      </x:c>
      <x:c r="C209" s="28" t="n">
        <x:f>SUMIF('Categorias'!$E$4:$E$1347,B209,'Categorias'!$F$4:$F$1347)</x:f>
        <x:v>14339</x:v>
      </x:c>
      <x:c r="D209" s="28" t="n">
        <x:f>SUMIFS('Categorias'!$F$4:$F$1347,'Categorias'!$E$4:$E$1347,B209,'Categorias'!$A$4:$A$1347,D$3)</x:f>
        <x:v>0</x:v>
      </x:c>
      <x:c r="E209" s="28" t="n">
        <x:f>SUMIFS('Categorias'!$F$4:$F$1347,'Categorias'!$E$4:$E$1347,B209,'Categorias'!$A$4:$A$1347,E$3)</x:f>
        <x:v>3504</x:v>
      </x:c>
      <x:c r="F209" s="28" t="n">
        <x:f>SUMIFS('Categorias'!$F$4:$F$1347,'Categorias'!$E$4:$E$1347,B209,'Categorias'!$A$4:$A$1347,F$3)</x:f>
        <x:v>0</x:v>
      </x:c>
      <x:c r="G209" s="28" t="n">
        <x:f>SUMIFS('Categorias'!$F$4:$F$1347,'Categorias'!$E$4:$E$1347,B209,'Categorias'!$A$4:$A$1347,G$3)</x:f>
        <x:v>0</x:v>
      </x:c>
      <x:c r="H209" s="28" t="n">
        <x:f>SUMIFS('Categorias'!$F$4:$F$1347,'Categorias'!$E$4:$E$1347,B209,'Categorias'!$A$4:$A$1347,H$3)</x:f>
        <x:v>2852</x:v>
      </x:c>
      <x:c r="I209" s="28" t="n">
        <x:f>SUMIFS('Categorias'!$F$4:$F$1347,'Categorias'!$E$4:$E$1347,B209,'Categorias'!$A$4:$A$1347,I$3)</x:f>
        <x:v>71</x:v>
      </x:c>
      <x:c r="J209" s="28" t="n">
        <x:f>SUMIFS('Categorias'!$F$4:$F$1347,'Categorias'!$E$4:$E$1347,B209,'Categorias'!$A$4:$A$1347,J$3)</x:f>
        <x:v>7536</x:v>
      </x:c>
      <x:c r="K209" s="28" t="n">
        <x:f>SUMIFS('Categorias'!$F$4:$F$1347,'Categorias'!$E$4:$E$1347,B209,'Categorias'!$A$4:$A$1347,K$3)</x:f>
        <x:v>0</x:v>
      </x:c>
      <x:c r="L209" s="28" t="n">
        <x:f>SUMIFS('Categorias'!$F$4:$F$1347,'Categorias'!$E$4:$E$1347,B209,'Categorias'!$A$4:$A$1347,L$3)</x:f>
        <x:v>168</x:v>
      </x:c>
      <x:c r="M209" s="28" t="n">
        <x:f>SUMIFS('Categorias'!$F$4:$F$1347,'Categorias'!$E$4:$E$1347,B209,'Categorias'!$A$4:$A$1347,M$3)</x:f>
        <x:v>208</x:v>
      </x:c>
      <x:c r="N209" s="47" t="n">
        <x:f>SUMIFS('Categorias'!$F$4:$F$1347,'Categorias'!$E$4:$E$1347,B209,'Categorias'!$A$4:$A$1347,N$3)</x:f>
        <x:v>0</x:v>
      </x:c>
    </x:row>
    <x:row r="210">
      <x:c r="A210" s="39" t="n">
        <x:f>RANK.EQ(C210,$C$4:$C$273,0)</x:f>
        <x:v>207</x:v>
      </x:c>
      <x:c r="B210" s="40" t="str">
        <x:v>HooLiSheet</x:v>
      </x:c>
      <x:c r="C210" s="28" t="n">
        <x:f>SUMIF('Categorias'!$E$4:$E$1347,B210,'Categorias'!$F$4:$F$1347)</x:f>
        <x:v>14138</x:v>
      </x:c>
      <x:c r="D210" s="28" t="n">
        <x:f>SUMIFS('Categorias'!$F$4:$F$1347,'Categorias'!$E$4:$E$1347,B210,'Categorias'!$A$4:$A$1347,D$3)</x:f>
        <x:v>9542</x:v>
      </x:c>
      <x:c r="E210" s="28" t="n">
        <x:f>SUMIFS('Categorias'!$F$4:$F$1347,'Categorias'!$E$4:$E$1347,B210,'Categorias'!$A$4:$A$1347,E$3)</x:f>
        <x:v>0</x:v>
      </x:c>
      <x:c r="F210" s="28" t="n">
        <x:f>SUMIFS('Categorias'!$F$4:$F$1347,'Categorias'!$E$4:$E$1347,B210,'Categorias'!$A$4:$A$1347,F$3)</x:f>
        <x:v>0</x:v>
      </x:c>
      <x:c r="G210" s="28" t="n">
        <x:f>SUMIFS('Categorias'!$F$4:$F$1347,'Categorias'!$E$4:$E$1347,B210,'Categorias'!$A$4:$A$1347,G$3)</x:f>
        <x:v>0</x:v>
      </x:c>
      <x:c r="H210" s="28" t="n">
        <x:f>SUMIFS('Categorias'!$F$4:$F$1347,'Categorias'!$E$4:$E$1347,B210,'Categorias'!$A$4:$A$1347,H$3)</x:f>
        <x:v>0</x:v>
      </x:c>
      <x:c r="I210" s="28" t="n">
        <x:f>SUMIFS('Categorias'!$F$4:$F$1347,'Categorias'!$E$4:$E$1347,B210,'Categorias'!$A$4:$A$1347,I$3)</x:f>
        <x:v>0</x:v>
      </x:c>
      <x:c r="J210" s="28" t="n">
        <x:f>SUMIFS('Categorias'!$F$4:$F$1347,'Categorias'!$E$4:$E$1347,B210,'Categorias'!$A$4:$A$1347,J$3)</x:f>
        <x:v>0</x:v>
      </x:c>
      <x:c r="K210" s="28" t="n">
        <x:f>SUMIFS('Categorias'!$F$4:$F$1347,'Categorias'!$E$4:$E$1347,B210,'Categorias'!$A$4:$A$1347,K$3)</x:f>
        <x:v>0</x:v>
      </x:c>
      <x:c r="L210" s="28" t="n">
        <x:f>SUMIFS('Categorias'!$F$4:$F$1347,'Categorias'!$E$4:$E$1347,B210,'Categorias'!$A$4:$A$1347,L$3)</x:f>
        <x:v>0</x:v>
      </x:c>
      <x:c r="M210" s="28" t="n">
        <x:f>SUMIFS('Categorias'!$F$4:$F$1347,'Categorias'!$E$4:$E$1347,B210,'Categorias'!$A$4:$A$1347,M$3)</x:f>
        <x:v>0</x:v>
      </x:c>
      <x:c r="N210" s="47" t="n">
        <x:f>SUMIFS('Categorias'!$F$4:$F$1347,'Categorias'!$E$4:$E$1347,B210,'Categorias'!$A$4:$A$1347,N$3)</x:f>
        <x:v>0</x:v>
      </x:c>
    </x:row>
    <x:row r="211">
      <x:c r="A211" s="39" t="n">
        <x:f>RANK.EQ(C211,$C$4:$C$273,0)</x:f>
        <x:v>208</x:v>
      </x:c>
      <x:c r="B211" s="40" t="str">
        <x:v>ROBINHOBINHO</x:v>
      </x:c>
      <x:c r="C211" s="28" t="n">
        <x:f>SUMIF('Categorias'!$E$4:$E$1347,B211,'Categorias'!$F$4:$F$1347)</x:f>
        <x:v>13700</x:v>
      </x:c>
      <x:c r="D211" s="28" t="n">
        <x:f>SUMIFS('Categorias'!$F$4:$F$1347,'Categorias'!$E$4:$E$1347,B211,'Categorias'!$A$4:$A$1347,D$3)</x:f>
        <x:v>13595</x:v>
      </x:c>
      <x:c r="E211" s="28" t="n">
        <x:f>SUMIFS('Categorias'!$F$4:$F$1347,'Categorias'!$E$4:$E$1347,B211,'Categorias'!$A$4:$A$1347,E$3)</x:f>
        <x:v>105</x:v>
      </x:c>
      <x:c r="F211" s="28" t="n">
        <x:f>SUMIFS('Categorias'!$F$4:$F$1347,'Categorias'!$E$4:$E$1347,B211,'Categorias'!$A$4:$A$1347,F$3)</x:f>
        <x:v>0</x:v>
      </x:c>
      <x:c r="G211" s="28" t="n">
        <x:f>SUMIFS('Categorias'!$F$4:$F$1347,'Categorias'!$E$4:$E$1347,B211,'Categorias'!$A$4:$A$1347,G$3)</x:f>
        <x:v>0</x:v>
      </x:c>
      <x:c r="H211" s="28" t="n">
        <x:f>SUMIFS('Categorias'!$F$4:$F$1347,'Categorias'!$E$4:$E$1347,B211,'Categorias'!$A$4:$A$1347,H$3)</x:f>
        <x:v>0</x:v>
      </x:c>
      <x:c r="I211" s="28" t="n">
        <x:f>SUMIFS('Categorias'!$F$4:$F$1347,'Categorias'!$E$4:$E$1347,B211,'Categorias'!$A$4:$A$1347,I$3)</x:f>
        <x:v>0</x:v>
      </x:c>
      <x:c r="J211" s="28" t="n">
        <x:f>SUMIFS('Categorias'!$F$4:$F$1347,'Categorias'!$E$4:$E$1347,B211,'Categorias'!$A$4:$A$1347,J$3)</x:f>
        <x:v>0</x:v>
      </x:c>
      <x:c r="K211" s="28" t="n">
        <x:f>SUMIFS('Categorias'!$F$4:$F$1347,'Categorias'!$E$4:$E$1347,B211,'Categorias'!$A$4:$A$1347,K$3)</x:f>
        <x:v>0</x:v>
      </x:c>
      <x:c r="L211" s="28" t="n">
        <x:f>SUMIFS('Categorias'!$F$4:$F$1347,'Categorias'!$E$4:$E$1347,B211,'Categorias'!$A$4:$A$1347,L$3)</x:f>
        <x:v>0</x:v>
      </x:c>
      <x:c r="M211" s="28" t="n">
        <x:f>SUMIFS('Categorias'!$F$4:$F$1347,'Categorias'!$E$4:$E$1347,B211,'Categorias'!$A$4:$A$1347,M$3)</x:f>
        <x:v>0</x:v>
      </x:c>
      <x:c r="N211" s="47" t="n">
        <x:f>SUMIFS('Categorias'!$F$4:$F$1347,'Categorias'!$E$4:$E$1347,B211,'Categorias'!$A$4:$A$1347,N$3)</x:f>
        <x:v>0</x:v>
      </x:c>
    </x:row>
    <x:row r="212">
      <x:c r="A212" s="39" t="n">
        <x:f>RANK.EQ(C212,$C$4:$C$273,0)</x:f>
        <x:v>209</x:v>
      </x:c>
      <x:c r="B212" s="40" t="str">
        <x:v>JORJAO</x:v>
      </x:c>
      <x:c r="C212" s="28" t="n">
        <x:f>SUMIF('Categorias'!$E$4:$E$1347,B212,'Categorias'!$F$4:$F$1347)</x:f>
        <x:v>12437</x:v>
      </x:c>
      <x:c r="D212" s="28" t="n">
        <x:f>SUMIFS('Categorias'!$F$4:$F$1347,'Categorias'!$E$4:$E$1347,B212,'Categorias'!$A$4:$A$1347,D$3)</x:f>
        <x:v>3548</x:v>
      </x:c>
      <x:c r="E212" s="28" t="n">
        <x:f>SUMIFS('Categorias'!$F$4:$F$1347,'Categorias'!$E$4:$E$1347,B212,'Categorias'!$A$4:$A$1347,E$3)</x:f>
        <x:v>132</x:v>
      </x:c>
      <x:c r="F212" s="28" t="n">
        <x:f>SUMIFS('Categorias'!$F$4:$F$1347,'Categorias'!$E$4:$E$1347,B212,'Categorias'!$A$4:$A$1347,F$3)</x:f>
        <x:v>0</x:v>
      </x:c>
      <x:c r="G212" s="28" t="n">
        <x:f>SUMIFS('Categorias'!$F$4:$F$1347,'Categorias'!$E$4:$E$1347,B212,'Categorias'!$A$4:$A$1347,G$3)</x:f>
        <x:v>7580</x:v>
      </x:c>
      <x:c r="H212" s="28" t="n">
        <x:f>SUMIFS('Categorias'!$F$4:$F$1347,'Categorias'!$E$4:$E$1347,B212,'Categorias'!$A$4:$A$1347,H$3)</x:f>
        <x:v>0</x:v>
      </x:c>
      <x:c r="I212" s="28" t="n">
        <x:f>SUMIFS('Categorias'!$F$4:$F$1347,'Categorias'!$E$4:$E$1347,B212,'Categorias'!$A$4:$A$1347,I$3)</x:f>
        <x:v>419</x:v>
      </x:c>
      <x:c r="J212" s="28" t="n">
        <x:f>SUMIFS('Categorias'!$F$4:$F$1347,'Categorias'!$E$4:$E$1347,B212,'Categorias'!$A$4:$A$1347,J$3)</x:f>
        <x:v>758</x:v>
      </x:c>
      <x:c r="K212" s="28" t="n">
        <x:f>SUMIFS('Categorias'!$F$4:$F$1347,'Categorias'!$E$4:$E$1347,B212,'Categorias'!$A$4:$A$1347,K$3)</x:f>
        <x:v>0</x:v>
      </x:c>
      <x:c r="L212" s="28" t="n">
        <x:f>SUMIFS('Categorias'!$F$4:$F$1347,'Categorias'!$E$4:$E$1347,B212,'Categorias'!$A$4:$A$1347,L$3)</x:f>
        <x:v>0</x:v>
      </x:c>
      <x:c r="M212" s="28" t="n">
        <x:f>SUMIFS('Categorias'!$F$4:$F$1347,'Categorias'!$E$4:$E$1347,B212,'Categorias'!$A$4:$A$1347,M$3)</x:f>
        <x:v>0</x:v>
      </x:c>
      <x:c r="N212" s="47" t="n">
        <x:f>SUMIFS('Categorias'!$F$4:$F$1347,'Categorias'!$E$4:$E$1347,B212,'Categorias'!$A$4:$A$1347,N$3)</x:f>
        <x:v>0</x:v>
      </x:c>
    </x:row>
    <x:row r="213">
      <x:c r="A213" s="39" t="n">
        <x:f>RANK.EQ(C213,$C$4:$C$273,0)</x:f>
        <x:v>210</x:v>
      </x:c>
      <x:c r="B213" s="40" t="str">
        <x:v>DpOZPIO</x:v>
      </x:c>
      <x:c r="C213" s="28" t="n">
        <x:f>SUMIF('Categorias'!$E$4:$E$1347,B213,'Categorias'!$F$4:$F$1347)</x:f>
        <x:v>11367</x:v>
      </x:c>
      <x:c r="D213" s="28" t="n">
        <x:f>SUMIFS('Categorias'!$F$4:$F$1347,'Categorias'!$E$4:$E$1347,B213,'Categorias'!$A$4:$A$1347,D$3)</x:f>
        <x:v>0</x:v>
      </x:c>
      <x:c r="E213" s="28" t="n">
        <x:f>SUMIFS('Categorias'!$F$4:$F$1347,'Categorias'!$E$4:$E$1347,B213,'Categorias'!$A$4:$A$1347,E$3)</x:f>
        <x:v>11367</x:v>
      </x:c>
      <x:c r="F213" s="28" t="n">
        <x:f>SUMIFS('Categorias'!$F$4:$F$1347,'Categorias'!$E$4:$E$1347,B213,'Categorias'!$A$4:$A$1347,F$3)</x:f>
        <x:v>0</x:v>
      </x:c>
      <x:c r="G213" s="28" t="n">
        <x:f>SUMIFS('Categorias'!$F$4:$F$1347,'Categorias'!$E$4:$E$1347,B213,'Categorias'!$A$4:$A$1347,G$3)</x:f>
        <x:v>0</x:v>
      </x:c>
      <x:c r="H213" s="28" t="n">
        <x:f>SUMIFS('Categorias'!$F$4:$F$1347,'Categorias'!$E$4:$E$1347,B213,'Categorias'!$A$4:$A$1347,H$3)</x:f>
        <x:v>0</x:v>
      </x:c>
      <x:c r="I213" s="28" t="n">
        <x:f>SUMIFS('Categorias'!$F$4:$F$1347,'Categorias'!$E$4:$E$1347,B213,'Categorias'!$A$4:$A$1347,I$3)</x:f>
        <x:v>0</x:v>
      </x:c>
      <x:c r="J213" s="28" t="n">
        <x:f>SUMIFS('Categorias'!$F$4:$F$1347,'Categorias'!$E$4:$E$1347,B213,'Categorias'!$A$4:$A$1347,J$3)</x:f>
        <x:v>0</x:v>
      </x:c>
      <x:c r="K213" s="28" t="n">
        <x:f>SUMIFS('Categorias'!$F$4:$F$1347,'Categorias'!$E$4:$E$1347,B213,'Categorias'!$A$4:$A$1347,K$3)</x:f>
        <x:v>0</x:v>
      </x:c>
      <x:c r="L213" s="28" t="n">
        <x:f>SUMIFS('Categorias'!$F$4:$F$1347,'Categorias'!$E$4:$E$1347,B213,'Categorias'!$A$4:$A$1347,L$3)</x:f>
        <x:v>0</x:v>
      </x:c>
      <x:c r="M213" s="28" t="n">
        <x:f>SUMIFS('Categorias'!$F$4:$F$1347,'Categorias'!$E$4:$E$1347,B213,'Categorias'!$A$4:$A$1347,M$3)</x:f>
        <x:v>0</x:v>
      </x:c>
      <x:c r="N213" s="47" t="n">
        <x:f>SUMIFS('Categorias'!$F$4:$F$1347,'Categorias'!$E$4:$E$1347,B213,'Categorias'!$A$4:$A$1347,N$3)</x:f>
        <x:v>0</x:v>
      </x:c>
    </x:row>
    <x:row r="214">
      <x:c r="A214" s="39" t="n">
        <x:f>RANK.EQ(C214,$C$4:$C$273,0)</x:f>
        <x:v>211</x:v>
      </x:c>
      <x:c r="B214" s="40" t="str">
        <x:v>totentandojoga</x:v>
      </x:c>
      <x:c r="C214" s="28" t="n">
        <x:f>SUMIF('Categorias'!$E$4:$E$1347,B214,'Categorias'!$F$4:$F$1347)</x:f>
        <x:v>10831</x:v>
      </x:c>
      <x:c r="D214" s="28" t="n">
        <x:f>SUMIFS('Categorias'!$F$4:$F$1347,'Categorias'!$E$4:$E$1347,B214,'Categorias'!$A$4:$A$1347,D$3)</x:f>
        <x:v>10831</x:v>
      </x:c>
      <x:c r="E214" s="28" t="n">
        <x:f>SUMIFS('Categorias'!$F$4:$F$1347,'Categorias'!$E$4:$E$1347,B214,'Categorias'!$A$4:$A$1347,E$3)</x:f>
        <x:v>0</x:v>
      </x:c>
      <x:c r="F214" s="28" t="n">
        <x:f>SUMIFS('Categorias'!$F$4:$F$1347,'Categorias'!$E$4:$E$1347,B214,'Categorias'!$A$4:$A$1347,F$3)</x:f>
        <x:v>0</x:v>
      </x:c>
      <x:c r="G214" s="28" t="n">
        <x:f>SUMIFS('Categorias'!$F$4:$F$1347,'Categorias'!$E$4:$E$1347,B214,'Categorias'!$A$4:$A$1347,G$3)</x:f>
        <x:v>0</x:v>
      </x:c>
      <x:c r="H214" s="28" t="n">
        <x:f>SUMIFS('Categorias'!$F$4:$F$1347,'Categorias'!$E$4:$E$1347,B214,'Categorias'!$A$4:$A$1347,H$3)</x:f>
        <x:v>0</x:v>
      </x:c>
      <x:c r="I214" s="28" t="n">
        <x:f>SUMIFS('Categorias'!$F$4:$F$1347,'Categorias'!$E$4:$E$1347,B214,'Categorias'!$A$4:$A$1347,I$3)</x:f>
        <x:v>0</x:v>
      </x:c>
      <x:c r="J214" s="28" t="n">
        <x:f>SUMIFS('Categorias'!$F$4:$F$1347,'Categorias'!$E$4:$E$1347,B214,'Categorias'!$A$4:$A$1347,J$3)</x:f>
        <x:v>0</x:v>
      </x:c>
      <x:c r="K214" s="28" t="n">
        <x:f>SUMIFS('Categorias'!$F$4:$F$1347,'Categorias'!$E$4:$E$1347,B214,'Categorias'!$A$4:$A$1347,K$3)</x:f>
        <x:v>0</x:v>
      </x:c>
      <x:c r="L214" s="28" t="n">
        <x:f>SUMIFS('Categorias'!$F$4:$F$1347,'Categorias'!$E$4:$E$1347,B214,'Categorias'!$A$4:$A$1347,L$3)</x:f>
        <x:v>0</x:v>
      </x:c>
      <x:c r="M214" s="28" t="n">
        <x:f>SUMIFS('Categorias'!$F$4:$F$1347,'Categorias'!$E$4:$E$1347,B214,'Categorias'!$A$4:$A$1347,M$3)</x:f>
        <x:v>0</x:v>
      </x:c>
      <x:c r="N214" s="47" t="n">
        <x:f>SUMIFS('Categorias'!$F$4:$F$1347,'Categorias'!$E$4:$E$1347,B214,'Categorias'!$A$4:$A$1347,N$3)</x:f>
        <x:v>0</x:v>
      </x:c>
    </x:row>
    <x:row r="215">
      <x:c r="A215" s="39" t="n">
        <x:f>RANK.EQ(C215,$C$4:$C$273,0)</x:f>
        <x:v>212</x:v>
      </x:c>
      <x:c r="B215" s="40" t="str">
        <x:v>BloodXD</x:v>
      </x:c>
      <x:c r="C215" s="28" t="n">
        <x:f>SUMIF('Categorias'!$E$4:$E$1347,B215,'Categorias'!$F$4:$F$1347)</x:f>
        <x:v>9848</x:v>
      </x:c>
      <x:c r="D215" s="28" t="n">
        <x:f>SUMIFS('Categorias'!$F$4:$F$1347,'Categorias'!$E$4:$E$1347,B215,'Categorias'!$A$4:$A$1347,D$3)</x:f>
        <x:v>9848</x:v>
      </x:c>
      <x:c r="E215" s="28" t="n">
        <x:f>SUMIFS('Categorias'!$F$4:$F$1347,'Categorias'!$E$4:$E$1347,B215,'Categorias'!$A$4:$A$1347,E$3)</x:f>
        <x:v>0</x:v>
      </x:c>
      <x:c r="F215" s="28" t="n">
        <x:f>SUMIFS('Categorias'!$F$4:$F$1347,'Categorias'!$E$4:$E$1347,B215,'Categorias'!$A$4:$A$1347,F$3)</x:f>
        <x:v>0</x:v>
      </x:c>
      <x:c r="G215" s="28" t="n">
        <x:f>SUMIFS('Categorias'!$F$4:$F$1347,'Categorias'!$E$4:$E$1347,B215,'Categorias'!$A$4:$A$1347,G$3)</x:f>
        <x:v>0</x:v>
      </x:c>
      <x:c r="H215" s="28" t="n">
        <x:f>SUMIFS('Categorias'!$F$4:$F$1347,'Categorias'!$E$4:$E$1347,B215,'Categorias'!$A$4:$A$1347,H$3)</x:f>
        <x:v>0</x:v>
      </x:c>
      <x:c r="I215" s="28" t="n">
        <x:f>SUMIFS('Categorias'!$F$4:$F$1347,'Categorias'!$E$4:$E$1347,B215,'Categorias'!$A$4:$A$1347,I$3)</x:f>
        <x:v>0</x:v>
      </x:c>
      <x:c r="J215" s="28" t="n">
        <x:f>SUMIFS('Categorias'!$F$4:$F$1347,'Categorias'!$E$4:$E$1347,B215,'Categorias'!$A$4:$A$1347,J$3)</x:f>
        <x:v>0</x:v>
      </x:c>
      <x:c r="K215" s="28" t="n">
        <x:f>SUMIFS('Categorias'!$F$4:$F$1347,'Categorias'!$E$4:$E$1347,B215,'Categorias'!$A$4:$A$1347,K$3)</x:f>
        <x:v>0</x:v>
      </x:c>
      <x:c r="L215" s="28" t="n">
        <x:f>SUMIFS('Categorias'!$F$4:$F$1347,'Categorias'!$E$4:$E$1347,B215,'Categorias'!$A$4:$A$1347,L$3)</x:f>
        <x:v>0</x:v>
      </x:c>
      <x:c r="M215" s="28" t="n">
        <x:f>SUMIFS('Categorias'!$F$4:$F$1347,'Categorias'!$E$4:$E$1347,B215,'Categorias'!$A$4:$A$1347,M$3)</x:f>
        <x:v>0</x:v>
      </x:c>
      <x:c r="N215" s="47" t="n">
        <x:f>SUMIFS('Categorias'!$F$4:$F$1347,'Categorias'!$E$4:$E$1347,B215,'Categorias'!$A$4:$A$1347,N$3)</x:f>
        <x:v>0</x:v>
      </x:c>
    </x:row>
    <x:row r="216">
      <x:c r="A216" s="39" t="n">
        <x:f>RANK.EQ(C216,$C$4:$C$273,0)</x:f>
        <x:v>213</x:v>
      </x:c>
      <x:c r="B216" s="40" t="str">
        <x:v>JaxSlayer</x:v>
      </x:c>
      <x:c r="C216" s="28" t="n">
        <x:f>SUMIF('Categorias'!$E$4:$E$1347,B216,'Categorias'!$F$4:$F$1347)</x:f>
        <x:v>8533</x:v>
      </x:c>
      <x:c r="D216" s="28" t="n">
        <x:f>SUMIFS('Categorias'!$F$4:$F$1347,'Categorias'!$E$4:$E$1347,B216,'Categorias'!$A$4:$A$1347,D$3)</x:f>
        <x:v>7729</x:v>
      </x:c>
      <x:c r="E216" s="28" t="n">
        <x:f>SUMIFS('Categorias'!$F$4:$F$1347,'Categorias'!$E$4:$E$1347,B216,'Categorias'!$A$4:$A$1347,E$3)</x:f>
        <x:v>0</x:v>
      </x:c>
      <x:c r="F216" s="28" t="n">
        <x:f>SUMIFS('Categorias'!$F$4:$F$1347,'Categorias'!$E$4:$E$1347,B216,'Categorias'!$A$4:$A$1347,F$3)</x:f>
        <x:v>0</x:v>
      </x:c>
      <x:c r="G216" s="28" t="n">
        <x:f>SUMIFS('Categorias'!$F$4:$F$1347,'Categorias'!$E$4:$E$1347,B216,'Categorias'!$A$4:$A$1347,G$3)</x:f>
        <x:v>0</x:v>
      </x:c>
      <x:c r="H216" s="28" t="n">
        <x:f>SUMIFS('Categorias'!$F$4:$F$1347,'Categorias'!$E$4:$E$1347,B216,'Categorias'!$A$4:$A$1347,H$3)</x:f>
        <x:v>0</x:v>
      </x:c>
      <x:c r="I216" s="28" t="n">
        <x:f>SUMIFS('Categorias'!$F$4:$F$1347,'Categorias'!$E$4:$E$1347,B216,'Categorias'!$A$4:$A$1347,I$3)</x:f>
        <x:v>0</x:v>
      </x:c>
      <x:c r="J216" s="28" t="n">
        <x:f>SUMIFS('Categorias'!$F$4:$F$1347,'Categorias'!$E$4:$E$1347,B216,'Categorias'!$A$4:$A$1347,J$3)</x:f>
        <x:v>0</x:v>
      </x:c>
      <x:c r="K216" s="28" t="n">
        <x:f>SUMIFS('Categorias'!$F$4:$F$1347,'Categorias'!$E$4:$E$1347,B216,'Categorias'!$A$4:$A$1347,K$3)</x:f>
        <x:v>0</x:v>
      </x:c>
      <x:c r="L216" s="28" t="n">
        <x:f>SUMIFS('Categorias'!$F$4:$F$1347,'Categorias'!$E$4:$E$1347,B216,'Categorias'!$A$4:$A$1347,L$3)</x:f>
        <x:v>0</x:v>
      </x:c>
      <x:c r="M216" s="28" t="n">
        <x:f>SUMIFS('Categorias'!$F$4:$F$1347,'Categorias'!$E$4:$E$1347,B216,'Categorias'!$A$4:$A$1347,M$3)</x:f>
        <x:v>0</x:v>
      </x:c>
      <x:c r="N216" s="47" t="n">
        <x:f>SUMIFS('Categorias'!$F$4:$F$1347,'Categorias'!$E$4:$E$1347,B216,'Categorias'!$A$4:$A$1347,N$3)</x:f>
        <x:v>0</x:v>
      </x:c>
    </x:row>
    <x:row r="217">
      <x:c r="A217" s="39" t="n">
        <x:f>RANK.EQ(C217,$C$4:$C$273,0)</x:f>
        <x:v>214</x:v>
      </x:c>
      <x:c r="B217" s="40" t="str">
        <x:v>ziorni</x:v>
      </x:c>
      <x:c r="C217" s="28" t="n">
        <x:f>SUMIF('Categorias'!$E$4:$E$1347,B217,'Categorias'!$F$4:$F$1347)</x:f>
        <x:v>8010</x:v>
      </x:c>
      <x:c r="D217" s="28" t="n">
        <x:f>SUMIFS('Categorias'!$F$4:$F$1347,'Categorias'!$E$4:$E$1347,B217,'Categorias'!$A$4:$A$1347,D$3)</x:f>
        <x:v>8010</x:v>
      </x:c>
      <x:c r="E217" s="28" t="n">
        <x:f>SUMIFS('Categorias'!$F$4:$F$1347,'Categorias'!$E$4:$E$1347,B217,'Categorias'!$A$4:$A$1347,E$3)</x:f>
        <x:v>0</x:v>
      </x:c>
      <x:c r="F217" s="28" t="n">
        <x:f>SUMIFS('Categorias'!$F$4:$F$1347,'Categorias'!$E$4:$E$1347,B217,'Categorias'!$A$4:$A$1347,F$3)</x:f>
        <x:v>0</x:v>
      </x:c>
      <x:c r="G217" s="28" t="n">
        <x:f>SUMIFS('Categorias'!$F$4:$F$1347,'Categorias'!$E$4:$E$1347,B217,'Categorias'!$A$4:$A$1347,G$3)</x:f>
        <x:v>0</x:v>
      </x:c>
      <x:c r="H217" s="28" t="n">
        <x:f>SUMIFS('Categorias'!$F$4:$F$1347,'Categorias'!$E$4:$E$1347,B217,'Categorias'!$A$4:$A$1347,H$3)</x:f>
        <x:v>0</x:v>
      </x:c>
      <x:c r="I217" s="28" t="n">
        <x:f>SUMIFS('Categorias'!$F$4:$F$1347,'Categorias'!$E$4:$E$1347,B217,'Categorias'!$A$4:$A$1347,I$3)</x:f>
        <x:v>0</x:v>
      </x:c>
      <x:c r="J217" s="28" t="n">
        <x:f>SUMIFS('Categorias'!$F$4:$F$1347,'Categorias'!$E$4:$E$1347,B217,'Categorias'!$A$4:$A$1347,J$3)</x:f>
        <x:v>0</x:v>
      </x:c>
      <x:c r="K217" s="28" t="n">
        <x:f>SUMIFS('Categorias'!$F$4:$F$1347,'Categorias'!$E$4:$E$1347,B217,'Categorias'!$A$4:$A$1347,K$3)</x:f>
        <x:v>0</x:v>
      </x:c>
      <x:c r="L217" s="28" t="n">
        <x:f>SUMIFS('Categorias'!$F$4:$F$1347,'Categorias'!$E$4:$E$1347,B217,'Categorias'!$A$4:$A$1347,L$3)</x:f>
        <x:v>0</x:v>
      </x:c>
      <x:c r="M217" s="28" t="n">
        <x:f>SUMIFS('Categorias'!$F$4:$F$1347,'Categorias'!$E$4:$E$1347,B217,'Categorias'!$A$4:$A$1347,M$3)</x:f>
        <x:v>0</x:v>
      </x:c>
      <x:c r="N217" s="47" t="n">
        <x:f>SUMIFS('Categorias'!$F$4:$F$1347,'Categorias'!$E$4:$E$1347,B217,'Categorias'!$A$4:$A$1347,N$3)</x:f>
        <x:v>0</x:v>
      </x:c>
    </x:row>
    <x:row r="218">
      <x:c r="A218" s="39" t="n">
        <x:f>RANK.EQ(C218,$C$4:$C$273,0)</x:f>
        <x:v>215</x:v>
      </x:c>
      <x:c r="B218" s="40" t="str">
        <x:v>Chapadexx</x:v>
      </x:c>
      <x:c r="C218" s="28" t="n">
        <x:f>SUMIF('Categorias'!$E$4:$E$1347,B218,'Categorias'!$F$4:$F$1347)</x:f>
        <x:v>7299</x:v>
      </x:c>
      <x:c r="D218" s="28" t="n">
        <x:f>SUMIFS('Categorias'!$F$4:$F$1347,'Categorias'!$E$4:$E$1347,B218,'Categorias'!$A$4:$A$1347,D$3)</x:f>
        <x:v>6595</x:v>
      </x:c>
      <x:c r="E218" s="28" t="n">
        <x:f>SUMIFS('Categorias'!$F$4:$F$1347,'Categorias'!$E$4:$E$1347,B218,'Categorias'!$A$4:$A$1347,E$3)</x:f>
        <x:v>704</x:v>
      </x:c>
      <x:c r="F218" s="28" t="n">
        <x:f>SUMIFS('Categorias'!$F$4:$F$1347,'Categorias'!$E$4:$E$1347,B218,'Categorias'!$A$4:$A$1347,F$3)</x:f>
        <x:v>0</x:v>
      </x:c>
      <x:c r="G218" s="28" t="n">
        <x:f>SUMIFS('Categorias'!$F$4:$F$1347,'Categorias'!$E$4:$E$1347,B218,'Categorias'!$A$4:$A$1347,G$3)</x:f>
        <x:v>0</x:v>
      </x:c>
      <x:c r="H218" s="28" t="n">
        <x:f>SUMIFS('Categorias'!$F$4:$F$1347,'Categorias'!$E$4:$E$1347,B218,'Categorias'!$A$4:$A$1347,H$3)</x:f>
        <x:v>0</x:v>
      </x:c>
      <x:c r="I218" s="28" t="n">
        <x:f>SUMIFS('Categorias'!$F$4:$F$1347,'Categorias'!$E$4:$E$1347,B218,'Categorias'!$A$4:$A$1347,I$3)</x:f>
        <x:v>0</x:v>
      </x:c>
      <x:c r="J218" s="28" t="n">
        <x:f>SUMIFS('Categorias'!$F$4:$F$1347,'Categorias'!$E$4:$E$1347,B218,'Categorias'!$A$4:$A$1347,J$3)</x:f>
        <x:v>0</x:v>
      </x:c>
      <x:c r="K218" s="28" t="n">
        <x:f>SUMIFS('Categorias'!$F$4:$F$1347,'Categorias'!$E$4:$E$1347,B218,'Categorias'!$A$4:$A$1347,K$3)</x:f>
        <x:v>0</x:v>
      </x:c>
      <x:c r="L218" s="28" t="n">
        <x:f>SUMIFS('Categorias'!$F$4:$F$1347,'Categorias'!$E$4:$E$1347,B218,'Categorias'!$A$4:$A$1347,L$3)</x:f>
        <x:v>0</x:v>
      </x:c>
      <x:c r="M218" s="28" t="n">
        <x:f>SUMIFS('Categorias'!$F$4:$F$1347,'Categorias'!$E$4:$E$1347,B218,'Categorias'!$A$4:$A$1347,M$3)</x:f>
        <x:v>0</x:v>
      </x:c>
      <x:c r="N218" s="47" t="n">
        <x:f>SUMIFS('Categorias'!$F$4:$F$1347,'Categorias'!$E$4:$E$1347,B218,'Categorias'!$A$4:$A$1347,N$3)</x:f>
        <x:v>0</x:v>
      </x:c>
    </x:row>
    <x:row r="219">
      <x:c r="A219" s="39" t="n">
        <x:f>RANK.EQ(C219,$C$4:$C$273,0)</x:f>
        <x:v>216</x:v>
      </x:c>
      <x:c r="B219" s="40" t="str">
        <x:v>Sracriola</x:v>
      </x:c>
      <x:c r="C219" s="28" t="n">
        <x:f>SUMIF('Categorias'!$E$4:$E$1347,B219,'Categorias'!$F$4:$F$1347)</x:f>
        <x:v>6656</x:v>
      </x:c>
      <x:c r="D219" s="28" t="n">
        <x:f>SUMIFS('Categorias'!$F$4:$F$1347,'Categorias'!$E$4:$E$1347,B219,'Categorias'!$A$4:$A$1347,D$3)</x:f>
        <x:v>2964</x:v>
      </x:c>
      <x:c r="E219" s="28" t="n">
        <x:f>SUMIFS('Categorias'!$F$4:$F$1347,'Categorias'!$E$4:$E$1347,B219,'Categorias'!$A$4:$A$1347,E$3)</x:f>
        <x:v>206</x:v>
      </x:c>
      <x:c r="F219" s="28" t="n">
        <x:f>SUMIFS('Categorias'!$F$4:$F$1347,'Categorias'!$E$4:$E$1347,B219,'Categorias'!$A$4:$A$1347,F$3)</x:f>
        <x:v>0</x:v>
      </x:c>
      <x:c r="G219" s="28" t="n">
        <x:f>SUMIFS('Categorias'!$F$4:$F$1347,'Categorias'!$E$4:$E$1347,B219,'Categorias'!$A$4:$A$1347,G$3)</x:f>
        <x:v>0</x:v>
      </x:c>
      <x:c r="H219" s="28" t="n">
        <x:f>SUMIFS('Categorias'!$F$4:$F$1347,'Categorias'!$E$4:$E$1347,B219,'Categorias'!$A$4:$A$1347,H$3)</x:f>
        <x:v>984</x:v>
      </x:c>
      <x:c r="I219" s="28" t="n">
        <x:f>SUMIFS('Categorias'!$F$4:$F$1347,'Categorias'!$E$4:$E$1347,B219,'Categorias'!$A$4:$A$1347,I$3)</x:f>
        <x:v>0</x:v>
      </x:c>
      <x:c r="J219" s="28" t="n">
        <x:f>SUMIFS('Categorias'!$F$4:$F$1347,'Categorias'!$E$4:$E$1347,B219,'Categorias'!$A$4:$A$1347,J$3)</x:f>
        <x:v>2502</x:v>
      </x:c>
      <x:c r="K219" s="28" t="n">
        <x:f>SUMIFS('Categorias'!$F$4:$F$1347,'Categorias'!$E$4:$E$1347,B219,'Categorias'!$A$4:$A$1347,K$3)</x:f>
        <x:v>0</x:v>
      </x:c>
      <x:c r="L219" s="28" t="n">
        <x:f>SUMIFS('Categorias'!$F$4:$F$1347,'Categorias'!$E$4:$E$1347,B219,'Categorias'!$A$4:$A$1347,L$3)</x:f>
        <x:v>0</x:v>
      </x:c>
      <x:c r="M219" s="28" t="n">
        <x:f>SUMIFS('Categorias'!$F$4:$F$1347,'Categorias'!$E$4:$E$1347,B219,'Categorias'!$A$4:$A$1347,M$3)</x:f>
        <x:v>0</x:v>
      </x:c>
      <x:c r="N219" s="47" t="n">
        <x:f>SUMIFS('Categorias'!$F$4:$F$1347,'Categorias'!$E$4:$E$1347,B219,'Categorias'!$A$4:$A$1347,N$3)</x:f>
        <x:v>0</x:v>
      </x:c>
    </x:row>
    <x:row r="220">
      <x:c r="A220" s="39" t="n">
        <x:f>RANK.EQ(C220,$C$4:$C$273,0)</x:f>
        <x:v>217</x:v>
      </x:c>
      <x:c r="B220" s="40" t="str">
        <x:v>KalosKirk2</x:v>
      </x:c>
      <x:c r="C220" s="28" t="n">
        <x:f>SUMIF('Categorias'!$E$4:$E$1347,B220,'Categorias'!$F$4:$F$1347)</x:f>
        <x:v>5050</x:v>
      </x:c>
      <x:c r="D220" s="28" t="n">
        <x:f>SUMIFS('Categorias'!$F$4:$F$1347,'Categorias'!$E$4:$E$1347,B220,'Categorias'!$A$4:$A$1347,D$3)</x:f>
        <x:v>4842</x:v>
      </x:c>
      <x:c r="E220" s="28" t="n">
        <x:f>SUMIFS('Categorias'!$F$4:$F$1347,'Categorias'!$E$4:$E$1347,B220,'Categorias'!$A$4:$A$1347,E$3)</x:f>
        <x:v>0</x:v>
      </x:c>
      <x:c r="F220" s="28" t="n">
        <x:f>SUMIFS('Categorias'!$F$4:$F$1347,'Categorias'!$E$4:$E$1347,B220,'Categorias'!$A$4:$A$1347,F$3)</x:f>
        <x:v>0</x:v>
      </x:c>
      <x:c r="G220" s="28" t="n">
        <x:f>SUMIFS('Categorias'!$F$4:$F$1347,'Categorias'!$E$4:$E$1347,B220,'Categorias'!$A$4:$A$1347,G$3)</x:f>
        <x:v>0</x:v>
      </x:c>
      <x:c r="H220" s="28" t="n">
        <x:f>SUMIFS('Categorias'!$F$4:$F$1347,'Categorias'!$E$4:$E$1347,B220,'Categorias'!$A$4:$A$1347,H$3)</x:f>
        <x:v>0</x:v>
      </x:c>
      <x:c r="I220" s="28" t="n">
        <x:f>SUMIFS('Categorias'!$F$4:$F$1347,'Categorias'!$E$4:$E$1347,B220,'Categorias'!$A$4:$A$1347,I$3)</x:f>
        <x:v>0</x:v>
      </x:c>
      <x:c r="J220" s="28" t="n">
        <x:f>SUMIFS('Categorias'!$F$4:$F$1347,'Categorias'!$E$4:$E$1347,B220,'Categorias'!$A$4:$A$1347,J$3)</x:f>
        <x:v>0</x:v>
      </x:c>
      <x:c r="K220" s="28" t="n">
        <x:f>SUMIFS('Categorias'!$F$4:$F$1347,'Categorias'!$E$4:$E$1347,B220,'Categorias'!$A$4:$A$1347,K$3)</x:f>
        <x:v>0</x:v>
      </x:c>
      <x:c r="L220" s="28" t="n">
        <x:f>SUMIFS('Categorias'!$F$4:$F$1347,'Categorias'!$E$4:$E$1347,B220,'Categorias'!$A$4:$A$1347,L$3)</x:f>
        <x:v>208</x:v>
      </x:c>
      <x:c r="M220" s="28" t="n">
        <x:f>SUMIFS('Categorias'!$F$4:$F$1347,'Categorias'!$E$4:$E$1347,B220,'Categorias'!$A$4:$A$1347,M$3)</x:f>
        <x:v>0</x:v>
      </x:c>
      <x:c r="N220" s="47" t="n">
        <x:f>SUMIFS('Categorias'!$F$4:$F$1347,'Categorias'!$E$4:$E$1347,B220,'Categorias'!$A$4:$A$1347,N$3)</x:f>
        <x:v>0</x:v>
      </x:c>
    </x:row>
    <x:row r="221">
      <x:c r="A221" s="39" t="n">
        <x:f>RANK.EQ(C221,$C$4:$C$273,0)</x:f>
        <x:v>218</x:v>
      </x:c>
      <x:c r="B221" s="40" t="str">
        <x:v>AmadaFoka</x:v>
      </x:c>
      <x:c r="C221" s="28" t="n">
        <x:f>SUMIF('Categorias'!$E$4:$E$1347,B221,'Categorias'!$F$4:$F$1347)</x:f>
        <x:v>4927</x:v>
      </x:c>
      <x:c r="D221" s="28" t="n">
        <x:f>SUMIFS('Categorias'!$F$4:$F$1347,'Categorias'!$E$4:$E$1347,B221,'Categorias'!$A$4:$A$1347,D$3)</x:f>
        <x:v>0</x:v>
      </x:c>
      <x:c r="E221" s="28" t="n">
        <x:f>SUMIFS('Categorias'!$F$4:$F$1347,'Categorias'!$E$4:$E$1347,B221,'Categorias'!$A$4:$A$1347,E$3)</x:f>
        <x:v>0</x:v>
      </x:c>
      <x:c r="F221" s="28" t="n">
        <x:f>SUMIFS('Categorias'!$F$4:$F$1347,'Categorias'!$E$4:$E$1347,B221,'Categorias'!$A$4:$A$1347,F$3)</x:f>
        <x:v>0</x:v>
      </x:c>
      <x:c r="G221" s="28" t="n">
        <x:f>SUMIFS('Categorias'!$F$4:$F$1347,'Categorias'!$E$4:$E$1347,B221,'Categorias'!$A$4:$A$1347,G$3)</x:f>
        <x:v>4927</x:v>
      </x:c>
      <x:c r="H221" s="28" t="n">
        <x:f>SUMIFS('Categorias'!$F$4:$F$1347,'Categorias'!$E$4:$E$1347,B221,'Categorias'!$A$4:$A$1347,H$3)</x:f>
        <x:v>0</x:v>
      </x:c>
      <x:c r="I221" s="28" t="n">
        <x:f>SUMIFS('Categorias'!$F$4:$F$1347,'Categorias'!$E$4:$E$1347,B221,'Categorias'!$A$4:$A$1347,I$3)</x:f>
        <x:v>0</x:v>
      </x:c>
      <x:c r="J221" s="28" t="n">
        <x:f>SUMIFS('Categorias'!$F$4:$F$1347,'Categorias'!$E$4:$E$1347,B221,'Categorias'!$A$4:$A$1347,J$3)</x:f>
        <x:v>0</x:v>
      </x:c>
      <x:c r="K221" s="28" t="n">
        <x:f>SUMIFS('Categorias'!$F$4:$F$1347,'Categorias'!$E$4:$E$1347,B221,'Categorias'!$A$4:$A$1347,K$3)</x:f>
        <x:v>0</x:v>
      </x:c>
      <x:c r="L221" s="28" t="n">
        <x:f>SUMIFS('Categorias'!$F$4:$F$1347,'Categorias'!$E$4:$E$1347,B221,'Categorias'!$A$4:$A$1347,L$3)</x:f>
        <x:v>0</x:v>
      </x:c>
      <x:c r="M221" s="28" t="n">
        <x:f>SUMIFS('Categorias'!$F$4:$F$1347,'Categorias'!$E$4:$E$1347,B221,'Categorias'!$A$4:$A$1347,M$3)</x:f>
        <x:v>0</x:v>
      </x:c>
      <x:c r="N221" s="47" t="n">
        <x:f>SUMIFS('Categorias'!$F$4:$F$1347,'Categorias'!$E$4:$E$1347,B221,'Categorias'!$A$4:$A$1347,N$3)</x:f>
        <x:v>0</x:v>
      </x:c>
    </x:row>
    <x:row r="222">
      <x:c r="A222" s="39" t="n">
        <x:f>RANK.EQ(C222,$C$4:$C$273,0)</x:f>
        <x:v>219</x:v>
      </x:c>
      <x:c r="B222" s="40" t="str">
        <x:v>OskiGoat</x:v>
      </x:c>
      <x:c r="C222" s="28" t="n">
        <x:f>SUMIF('Categorias'!$E$4:$E$1347,B222,'Categorias'!$F$4:$F$1347)</x:f>
        <x:v>4920</x:v>
      </x:c>
      <x:c r="D222" s="28" t="n">
        <x:f>SUMIFS('Categorias'!$F$4:$F$1347,'Categorias'!$E$4:$E$1347,B222,'Categorias'!$A$4:$A$1347,D$3)</x:f>
        <x:v>4428</x:v>
      </x:c>
      <x:c r="E222" s="28" t="n">
        <x:f>SUMIFS('Categorias'!$F$4:$F$1347,'Categorias'!$E$4:$E$1347,B222,'Categorias'!$A$4:$A$1347,E$3)</x:f>
        <x:v>383</x:v>
      </x:c>
      <x:c r="F222" s="28" t="n">
        <x:f>SUMIFS('Categorias'!$F$4:$F$1347,'Categorias'!$E$4:$E$1347,B222,'Categorias'!$A$4:$A$1347,F$3)</x:f>
        <x:v>0</x:v>
      </x:c>
      <x:c r="G222" s="28" t="n">
        <x:f>SUMIFS('Categorias'!$F$4:$F$1347,'Categorias'!$E$4:$E$1347,B222,'Categorias'!$A$4:$A$1347,G$3)</x:f>
        <x:v>0</x:v>
      </x:c>
      <x:c r="H222" s="28" t="n">
        <x:f>SUMIFS('Categorias'!$F$4:$F$1347,'Categorias'!$E$4:$E$1347,B222,'Categorias'!$A$4:$A$1347,H$3)</x:f>
        <x:v>109</x:v>
      </x:c>
      <x:c r="I222" s="28" t="n">
        <x:f>SUMIFS('Categorias'!$F$4:$F$1347,'Categorias'!$E$4:$E$1347,B222,'Categorias'!$A$4:$A$1347,I$3)</x:f>
        <x:v>0</x:v>
      </x:c>
      <x:c r="J222" s="28" t="n">
        <x:f>SUMIFS('Categorias'!$F$4:$F$1347,'Categorias'!$E$4:$E$1347,B222,'Categorias'!$A$4:$A$1347,J$3)</x:f>
        <x:v>0</x:v>
      </x:c>
      <x:c r="K222" s="28" t="n">
        <x:f>SUMIFS('Categorias'!$F$4:$F$1347,'Categorias'!$E$4:$E$1347,B222,'Categorias'!$A$4:$A$1347,K$3)</x:f>
        <x:v>0</x:v>
      </x:c>
      <x:c r="L222" s="28" t="n">
        <x:f>SUMIFS('Categorias'!$F$4:$F$1347,'Categorias'!$E$4:$E$1347,B222,'Categorias'!$A$4:$A$1347,L$3)</x:f>
        <x:v>0</x:v>
      </x:c>
      <x:c r="M222" s="28" t="n">
        <x:f>SUMIFS('Categorias'!$F$4:$F$1347,'Categorias'!$E$4:$E$1347,B222,'Categorias'!$A$4:$A$1347,M$3)</x:f>
        <x:v>0</x:v>
      </x:c>
      <x:c r="N222" s="47" t="n">
        <x:f>SUMIFS('Categorias'!$F$4:$F$1347,'Categorias'!$E$4:$E$1347,B222,'Categorias'!$A$4:$A$1347,N$3)</x:f>
        <x:v>0</x:v>
      </x:c>
    </x:row>
    <x:row r="223">
      <x:c r="A223" s="39" t="n">
        <x:f>RANK.EQ(C223,$C$4:$C$273,0)</x:f>
        <x:v>220</x:v>
      </x:c>
      <x:c r="B223" s="40" t="str">
        <x:v>kingjolas</x:v>
      </x:c>
      <x:c r="C223" s="28" t="n">
        <x:f>SUMIF('Categorias'!$E$4:$E$1347,B223,'Categorias'!$F$4:$F$1347)</x:f>
        <x:v>4773</x:v>
      </x:c>
      <x:c r="D223" s="28" t="n">
        <x:f>SUMIFS('Categorias'!$F$4:$F$1347,'Categorias'!$E$4:$E$1347,B223,'Categorias'!$A$4:$A$1347,D$3)</x:f>
        <x:v>4773</x:v>
      </x:c>
      <x:c r="E223" s="28" t="n">
        <x:f>SUMIFS('Categorias'!$F$4:$F$1347,'Categorias'!$E$4:$E$1347,B223,'Categorias'!$A$4:$A$1347,E$3)</x:f>
        <x:v>0</x:v>
      </x:c>
      <x:c r="F223" s="28" t="n">
        <x:f>SUMIFS('Categorias'!$F$4:$F$1347,'Categorias'!$E$4:$E$1347,B223,'Categorias'!$A$4:$A$1347,F$3)</x:f>
        <x:v>0</x:v>
      </x:c>
      <x:c r="G223" s="28" t="n">
        <x:f>SUMIFS('Categorias'!$F$4:$F$1347,'Categorias'!$E$4:$E$1347,B223,'Categorias'!$A$4:$A$1347,G$3)</x:f>
        <x:v>0</x:v>
      </x:c>
      <x:c r="H223" s="28" t="n">
        <x:f>SUMIFS('Categorias'!$F$4:$F$1347,'Categorias'!$E$4:$E$1347,B223,'Categorias'!$A$4:$A$1347,H$3)</x:f>
        <x:v>0</x:v>
      </x:c>
      <x:c r="I223" s="28" t="n">
        <x:f>SUMIFS('Categorias'!$F$4:$F$1347,'Categorias'!$E$4:$E$1347,B223,'Categorias'!$A$4:$A$1347,I$3)</x:f>
        <x:v>0</x:v>
      </x:c>
      <x:c r="J223" s="28" t="n">
        <x:f>SUMIFS('Categorias'!$F$4:$F$1347,'Categorias'!$E$4:$E$1347,B223,'Categorias'!$A$4:$A$1347,J$3)</x:f>
        <x:v>0</x:v>
      </x:c>
      <x:c r="K223" s="28" t="n">
        <x:f>SUMIFS('Categorias'!$F$4:$F$1347,'Categorias'!$E$4:$E$1347,B223,'Categorias'!$A$4:$A$1347,K$3)</x:f>
        <x:v>0</x:v>
      </x:c>
      <x:c r="L223" s="28" t="n">
        <x:f>SUMIFS('Categorias'!$F$4:$F$1347,'Categorias'!$E$4:$E$1347,B223,'Categorias'!$A$4:$A$1347,L$3)</x:f>
        <x:v>0</x:v>
      </x:c>
      <x:c r="M223" s="28" t="n">
        <x:f>SUMIFS('Categorias'!$F$4:$F$1347,'Categorias'!$E$4:$E$1347,B223,'Categorias'!$A$4:$A$1347,M$3)</x:f>
        <x:v>0</x:v>
      </x:c>
      <x:c r="N223" s="47" t="n">
        <x:f>SUMIFS('Categorias'!$F$4:$F$1347,'Categorias'!$E$4:$E$1347,B223,'Categorias'!$A$4:$A$1347,N$3)</x:f>
        <x:v>0</x:v>
      </x:c>
    </x:row>
    <x:row r="224">
      <x:c r="A224" s="39" t="n">
        <x:f>RANK.EQ(C224,$C$4:$C$273,0)</x:f>
        <x:v>221</x:v>
      </x:c>
      <x:c r="B224" s="40" t="str">
        <x:v>OldEleven11</x:v>
      </x:c>
      <x:c r="C224" s="28" t="n">
        <x:f>SUMIF('Categorias'!$E$4:$E$1347,B224,'Categorias'!$F$4:$F$1347)</x:f>
        <x:v>4526</x:v>
      </x:c>
      <x:c r="D224" s="28" t="n">
        <x:f>SUMIFS('Categorias'!$F$4:$F$1347,'Categorias'!$E$4:$E$1347,B224,'Categorias'!$A$4:$A$1347,D$3)</x:f>
        <x:v>4526</x:v>
      </x:c>
      <x:c r="E224" s="28" t="n">
        <x:f>SUMIFS('Categorias'!$F$4:$F$1347,'Categorias'!$E$4:$E$1347,B224,'Categorias'!$A$4:$A$1347,E$3)</x:f>
        <x:v>0</x:v>
      </x:c>
      <x:c r="F224" s="28" t="n">
        <x:f>SUMIFS('Categorias'!$F$4:$F$1347,'Categorias'!$E$4:$E$1347,B224,'Categorias'!$A$4:$A$1347,F$3)</x:f>
        <x:v>0</x:v>
      </x:c>
      <x:c r="G224" s="28" t="n">
        <x:f>SUMIFS('Categorias'!$F$4:$F$1347,'Categorias'!$E$4:$E$1347,B224,'Categorias'!$A$4:$A$1347,G$3)</x:f>
        <x:v>0</x:v>
      </x:c>
      <x:c r="H224" s="28" t="n">
        <x:f>SUMIFS('Categorias'!$F$4:$F$1347,'Categorias'!$E$4:$E$1347,B224,'Categorias'!$A$4:$A$1347,H$3)</x:f>
        <x:v>0</x:v>
      </x:c>
      <x:c r="I224" s="28" t="n">
        <x:f>SUMIFS('Categorias'!$F$4:$F$1347,'Categorias'!$E$4:$E$1347,B224,'Categorias'!$A$4:$A$1347,I$3)</x:f>
        <x:v>0</x:v>
      </x:c>
      <x:c r="J224" s="28" t="n">
        <x:f>SUMIFS('Categorias'!$F$4:$F$1347,'Categorias'!$E$4:$E$1347,B224,'Categorias'!$A$4:$A$1347,J$3)</x:f>
        <x:v>0</x:v>
      </x:c>
      <x:c r="K224" s="28" t="n">
        <x:f>SUMIFS('Categorias'!$F$4:$F$1347,'Categorias'!$E$4:$E$1347,B224,'Categorias'!$A$4:$A$1347,K$3)</x:f>
        <x:v>0</x:v>
      </x:c>
      <x:c r="L224" s="28" t="n">
        <x:f>SUMIFS('Categorias'!$F$4:$F$1347,'Categorias'!$E$4:$E$1347,B224,'Categorias'!$A$4:$A$1347,L$3)</x:f>
        <x:v>0</x:v>
      </x:c>
      <x:c r="M224" s="28" t="n">
        <x:f>SUMIFS('Categorias'!$F$4:$F$1347,'Categorias'!$E$4:$E$1347,B224,'Categorias'!$A$4:$A$1347,M$3)</x:f>
        <x:v>0</x:v>
      </x:c>
      <x:c r="N224" s="47" t="n">
        <x:f>SUMIFS('Categorias'!$F$4:$F$1347,'Categorias'!$E$4:$E$1347,B224,'Categorias'!$A$4:$A$1347,N$3)</x:f>
        <x:v>0</x:v>
      </x:c>
    </x:row>
    <x:row r="225">
      <x:c r="A225" s="39" t="n">
        <x:f>RANK.EQ(C225,$C$4:$C$273,0)</x:f>
        <x:v>222</x:v>
      </x:c>
      <x:c r="B225" s="40" t="str">
        <x:v>Austrix</x:v>
      </x:c>
      <x:c r="C225" s="28" t="n">
        <x:f>SUMIF('Categorias'!$E$4:$E$1347,B225,'Categorias'!$F$4:$F$1347)</x:f>
        <x:v>4350</x:v>
      </x:c>
      <x:c r="D225" s="28" t="n">
        <x:f>SUMIFS('Categorias'!$F$4:$F$1347,'Categorias'!$E$4:$E$1347,B225,'Categorias'!$A$4:$A$1347,D$3)</x:f>
        <x:v>3908</x:v>
      </x:c>
      <x:c r="E225" s="28" t="n">
        <x:f>SUMIFS('Categorias'!$F$4:$F$1347,'Categorias'!$E$4:$E$1347,B225,'Categorias'!$A$4:$A$1347,E$3)</x:f>
        <x:v>292</x:v>
      </x:c>
      <x:c r="F225" s="28" t="n">
        <x:f>SUMIFS('Categorias'!$F$4:$F$1347,'Categorias'!$E$4:$E$1347,B225,'Categorias'!$A$4:$A$1347,F$3)</x:f>
        <x:v>0</x:v>
      </x:c>
      <x:c r="G225" s="28" t="n">
        <x:f>SUMIFS('Categorias'!$F$4:$F$1347,'Categorias'!$E$4:$E$1347,B225,'Categorias'!$A$4:$A$1347,G$3)</x:f>
        <x:v>0</x:v>
      </x:c>
      <x:c r="H225" s="28" t="n">
        <x:f>SUMIFS('Categorias'!$F$4:$F$1347,'Categorias'!$E$4:$E$1347,B225,'Categorias'!$A$4:$A$1347,H$3)</x:f>
        <x:v>0</x:v>
      </x:c>
      <x:c r="I225" s="28" t="n">
        <x:f>SUMIFS('Categorias'!$F$4:$F$1347,'Categorias'!$E$4:$E$1347,B225,'Categorias'!$A$4:$A$1347,I$3)</x:f>
        <x:v>150</x:v>
      </x:c>
      <x:c r="J225" s="28" t="n">
        <x:f>SUMIFS('Categorias'!$F$4:$F$1347,'Categorias'!$E$4:$E$1347,B225,'Categorias'!$A$4:$A$1347,J$3)</x:f>
        <x:v>0</x:v>
      </x:c>
      <x:c r="K225" s="28" t="n">
        <x:f>SUMIFS('Categorias'!$F$4:$F$1347,'Categorias'!$E$4:$E$1347,B225,'Categorias'!$A$4:$A$1347,K$3)</x:f>
        <x:v>0</x:v>
      </x:c>
      <x:c r="L225" s="28" t="n">
        <x:f>SUMIFS('Categorias'!$F$4:$F$1347,'Categorias'!$E$4:$E$1347,B225,'Categorias'!$A$4:$A$1347,L$3)</x:f>
        <x:v>0</x:v>
      </x:c>
      <x:c r="M225" s="28" t="n">
        <x:f>SUMIFS('Categorias'!$F$4:$F$1347,'Categorias'!$E$4:$E$1347,B225,'Categorias'!$A$4:$A$1347,M$3)</x:f>
        <x:v>0</x:v>
      </x:c>
      <x:c r="N225" s="47" t="n">
        <x:f>SUMIFS('Categorias'!$F$4:$F$1347,'Categorias'!$E$4:$E$1347,B225,'Categorias'!$A$4:$A$1347,N$3)</x:f>
        <x:v>0</x:v>
      </x:c>
    </x:row>
    <x:row r="226">
      <x:c r="A226" s="39" t="n">
        <x:f>RANK.EQ(C226,$C$4:$C$273,0)</x:f>
        <x:v>223</x:v>
      </x:c>
      <x:c r="B226" s="40" t="str">
        <x:v>NicoleHellmann</x:v>
      </x:c>
      <x:c r="C226" s="28" t="n">
        <x:f>SUMIF('Categorias'!$E$4:$E$1347,B226,'Categorias'!$F$4:$F$1347)</x:f>
        <x:v>4297</x:v>
      </x:c>
      <x:c r="D226" s="28" t="n">
        <x:f>SUMIFS('Categorias'!$F$4:$F$1347,'Categorias'!$E$4:$E$1347,B226,'Categorias'!$A$4:$A$1347,D$3)</x:f>
        <x:v>4297</x:v>
      </x:c>
      <x:c r="E226" s="28" t="n">
        <x:f>SUMIFS('Categorias'!$F$4:$F$1347,'Categorias'!$E$4:$E$1347,B226,'Categorias'!$A$4:$A$1347,E$3)</x:f>
        <x:v>0</x:v>
      </x:c>
      <x:c r="F226" s="28" t="n">
        <x:f>SUMIFS('Categorias'!$F$4:$F$1347,'Categorias'!$E$4:$E$1347,B226,'Categorias'!$A$4:$A$1347,F$3)</x:f>
        <x:v>0</x:v>
      </x:c>
      <x:c r="G226" s="28" t="n">
        <x:f>SUMIFS('Categorias'!$F$4:$F$1347,'Categorias'!$E$4:$E$1347,B226,'Categorias'!$A$4:$A$1347,G$3)</x:f>
        <x:v>0</x:v>
      </x:c>
      <x:c r="H226" s="28" t="n">
        <x:f>SUMIFS('Categorias'!$F$4:$F$1347,'Categorias'!$E$4:$E$1347,B226,'Categorias'!$A$4:$A$1347,H$3)</x:f>
        <x:v>0</x:v>
      </x:c>
      <x:c r="I226" s="28" t="n">
        <x:f>SUMIFS('Categorias'!$F$4:$F$1347,'Categorias'!$E$4:$E$1347,B226,'Categorias'!$A$4:$A$1347,I$3)</x:f>
        <x:v>0</x:v>
      </x:c>
      <x:c r="J226" s="28" t="n">
        <x:f>SUMIFS('Categorias'!$F$4:$F$1347,'Categorias'!$E$4:$E$1347,B226,'Categorias'!$A$4:$A$1347,J$3)</x:f>
        <x:v>0</x:v>
      </x:c>
      <x:c r="K226" s="28" t="n">
        <x:f>SUMIFS('Categorias'!$F$4:$F$1347,'Categorias'!$E$4:$E$1347,B226,'Categorias'!$A$4:$A$1347,K$3)</x:f>
        <x:v>0</x:v>
      </x:c>
      <x:c r="L226" s="28" t="n">
        <x:f>SUMIFS('Categorias'!$F$4:$F$1347,'Categorias'!$E$4:$E$1347,B226,'Categorias'!$A$4:$A$1347,L$3)</x:f>
        <x:v>0</x:v>
      </x:c>
      <x:c r="M226" s="28" t="n">
        <x:f>SUMIFS('Categorias'!$F$4:$F$1347,'Categorias'!$E$4:$E$1347,B226,'Categorias'!$A$4:$A$1347,M$3)</x:f>
        <x:v>0</x:v>
      </x:c>
      <x:c r="N226" s="47" t="n">
        <x:f>SUMIFS('Categorias'!$F$4:$F$1347,'Categorias'!$E$4:$E$1347,B226,'Categorias'!$A$4:$A$1347,N$3)</x:f>
        <x:v>0</x:v>
      </x:c>
    </x:row>
    <x:row r="227">
      <x:c r="A227" s="39" t="n">
        <x:f>RANK.EQ(C227,$C$4:$C$273,0)</x:f>
        <x:v>224</x:v>
      </x:c>
      <x:c r="B227" s="40" t="str">
        <x:v>Bigodediarame</x:v>
      </x:c>
      <x:c r="C227" s="28" t="n">
        <x:f>SUMIF('Categorias'!$E$4:$E$1347,B227,'Categorias'!$F$4:$F$1347)</x:f>
        <x:v>4043</x:v>
      </x:c>
      <x:c r="D227" s="28" t="n">
        <x:f>SUMIFS('Categorias'!$F$4:$F$1347,'Categorias'!$E$4:$E$1347,B227,'Categorias'!$A$4:$A$1347,D$3)</x:f>
        <x:v>3447</x:v>
      </x:c>
      <x:c r="E227" s="28" t="n">
        <x:f>SUMIFS('Categorias'!$F$4:$F$1347,'Categorias'!$E$4:$E$1347,B227,'Categorias'!$A$4:$A$1347,E$3)</x:f>
        <x:v>293</x:v>
      </x:c>
      <x:c r="F227" s="28" t="n">
        <x:f>SUMIFS('Categorias'!$F$4:$F$1347,'Categorias'!$E$4:$E$1347,B227,'Categorias'!$A$4:$A$1347,F$3)</x:f>
        <x:v>0</x:v>
      </x:c>
      <x:c r="G227" s="28" t="n">
        <x:f>SUMIFS('Categorias'!$F$4:$F$1347,'Categorias'!$E$4:$E$1347,B227,'Categorias'!$A$4:$A$1347,G$3)</x:f>
        <x:v>0</x:v>
      </x:c>
      <x:c r="H227" s="28" t="n">
        <x:f>SUMIFS('Categorias'!$F$4:$F$1347,'Categorias'!$E$4:$E$1347,B227,'Categorias'!$A$4:$A$1347,H$3)</x:f>
        <x:v>78</x:v>
      </x:c>
      <x:c r="I227" s="28" t="n">
        <x:f>SUMIFS('Categorias'!$F$4:$F$1347,'Categorias'!$E$4:$E$1347,B227,'Categorias'!$A$4:$A$1347,I$3)</x:f>
        <x:v>110</x:v>
      </x:c>
      <x:c r="J227" s="28" t="n">
        <x:f>SUMIFS('Categorias'!$F$4:$F$1347,'Categorias'!$E$4:$E$1347,B227,'Categorias'!$A$4:$A$1347,J$3)</x:f>
        <x:v>115</x:v>
      </x:c>
      <x:c r="K227" s="28" t="n">
        <x:f>SUMIFS('Categorias'!$F$4:$F$1347,'Categorias'!$E$4:$E$1347,B227,'Categorias'!$A$4:$A$1347,K$3)</x:f>
        <x:v>0</x:v>
      </x:c>
      <x:c r="L227" s="28" t="n">
        <x:f>SUMIFS('Categorias'!$F$4:$F$1347,'Categorias'!$E$4:$E$1347,B227,'Categorias'!$A$4:$A$1347,L$3)</x:f>
        <x:v>0</x:v>
      </x:c>
      <x:c r="M227" s="28" t="n">
        <x:f>SUMIFS('Categorias'!$F$4:$F$1347,'Categorias'!$E$4:$E$1347,B227,'Categorias'!$A$4:$A$1347,M$3)</x:f>
        <x:v>0</x:v>
      </x:c>
      <x:c r="N227" s="47" t="n">
        <x:f>SUMIFS('Categorias'!$F$4:$F$1347,'Categorias'!$E$4:$E$1347,B227,'Categorias'!$A$4:$A$1347,N$3)</x:f>
        <x:v>0</x:v>
      </x:c>
    </x:row>
    <x:row r="228">
      <x:c r="A228" s="39" t="n">
        <x:f>RANK.EQ(C228,$C$4:$C$273,0)</x:f>
        <x:v>225</x:v>
      </x:c>
      <x:c r="B228" s="40" t="str">
        <x:v>Blackflare</x:v>
      </x:c>
      <x:c r="C228" s="28" t="n">
        <x:f>SUMIF('Categorias'!$E$4:$E$1347,B228,'Categorias'!$F$4:$F$1347)</x:f>
        <x:v>3802</x:v>
      </x:c>
      <x:c r="D228" s="28" t="n">
        <x:f>SUMIFS('Categorias'!$F$4:$F$1347,'Categorias'!$E$4:$E$1347,B228,'Categorias'!$A$4:$A$1347,D$3)</x:f>
        <x:v>3802</x:v>
      </x:c>
      <x:c r="E228" s="28" t="n">
        <x:f>SUMIFS('Categorias'!$F$4:$F$1347,'Categorias'!$E$4:$E$1347,B228,'Categorias'!$A$4:$A$1347,E$3)</x:f>
        <x:v>0</x:v>
      </x:c>
      <x:c r="F228" s="28" t="n">
        <x:f>SUMIFS('Categorias'!$F$4:$F$1347,'Categorias'!$E$4:$E$1347,B228,'Categorias'!$A$4:$A$1347,F$3)</x:f>
        <x:v>0</x:v>
      </x:c>
      <x:c r="G228" s="28" t="n">
        <x:f>SUMIFS('Categorias'!$F$4:$F$1347,'Categorias'!$E$4:$E$1347,B228,'Categorias'!$A$4:$A$1347,G$3)</x:f>
        <x:v>0</x:v>
      </x:c>
      <x:c r="H228" s="28" t="n">
        <x:f>SUMIFS('Categorias'!$F$4:$F$1347,'Categorias'!$E$4:$E$1347,B228,'Categorias'!$A$4:$A$1347,H$3)</x:f>
        <x:v>0</x:v>
      </x:c>
      <x:c r="I228" s="28" t="n">
        <x:f>SUMIFS('Categorias'!$F$4:$F$1347,'Categorias'!$E$4:$E$1347,B228,'Categorias'!$A$4:$A$1347,I$3)</x:f>
        <x:v>0</x:v>
      </x:c>
      <x:c r="J228" s="28" t="n">
        <x:f>SUMIFS('Categorias'!$F$4:$F$1347,'Categorias'!$E$4:$E$1347,B228,'Categorias'!$A$4:$A$1347,J$3)</x:f>
        <x:v>0</x:v>
      </x:c>
      <x:c r="K228" s="28" t="n">
        <x:f>SUMIFS('Categorias'!$F$4:$F$1347,'Categorias'!$E$4:$E$1347,B228,'Categorias'!$A$4:$A$1347,K$3)</x:f>
        <x:v>0</x:v>
      </x:c>
      <x:c r="L228" s="28" t="n">
        <x:f>SUMIFS('Categorias'!$F$4:$F$1347,'Categorias'!$E$4:$E$1347,B228,'Categorias'!$A$4:$A$1347,L$3)</x:f>
        <x:v>0</x:v>
      </x:c>
      <x:c r="M228" s="28" t="n">
        <x:f>SUMIFS('Categorias'!$F$4:$F$1347,'Categorias'!$E$4:$E$1347,B228,'Categorias'!$A$4:$A$1347,M$3)</x:f>
        <x:v>0</x:v>
      </x:c>
      <x:c r="N228" s="47" t="n">
        <x:f>SUMIFS('Categorias'!$F$4:$F$1347,'Categorias'!$E$4:$E$1347,B228,'Categorias'!$A$4:$A$1347,N$3)</x:f>
        <x:v>0</x:v>
      </x:c>
    </x:row>
    <x:row r="229">
      <x:c r="A229" s="39" t="n">
        <x:f>RANK.EQ(C229,$C$4:$C$273,0)</x:f>
        <x:v>226</x:v>
      </x:c>
      <x:c r="B229" s="40" t="str">
        <x:v>Lusitano</x:v>
      </x:c>
      <x:c r="C229" s="28" t="n">
        <x:f>SUMIF('Categorias'!$E$4:$E$1347,B229,'Categorias'!$F$4:$F$1347)</x:f>
        <x:v>3375</x:v>
      </x:c>
      <x:c r="D229" s="28" t="n">
        <x:f>SUMIFS('Categorias'!$F$4:$F$1347,'Categorias'!$E$4:$E$1347,B229,'Categorias'!$A$4:$A$1347,D$3)</x:f>
        <x:v>3375</x:v>
      </x:c>
      <x:c r="E229" s="28" t="n">
        <x:f>SUMIFS('Categorias'!$F$4:$F$1347,'Categorias'!$E$4:$E$1347,B229,'Categorias'!$A$4:$A$1347,E$3)</x:f>
        <x:v>0</x:v>
      </x:c>
      <x:c r="F229" s="28" t="n">
        <x:f>SUMIFS('Categorias'!$F$4:$F$1347,'Categorias'!$E$4:$E$1347,B229,'Categorias'!$A$4:$A$1347,F$3)</x:f>
        <x:v>0</x:v>
      </x:c>
      <x:c r="G229" s="28" t="n">
        <x:f>SUMIFS('Categorias'!$F$4:$F$1347,'Categorias'!$E$4:$E$1347,B229,'Categorias'!$A$4:$A$1347,G$3)</x:f>
        <x:v>0</x:v>
      </x:c>
      <x:c r="H229" s="28" t="n">
        <x:f>SUMIFS('Categorias'!$F$4:$F$1347,'Categorias'!$E$4:$E$1347,B229,'Categorias'!$A$4:$A$1347,H$3)</x:f>
        <x:v>0</x:v>
      </x:c>
      <x:c r="I229" s="28" t="n">
        <x:f>SUMIFS('Categorias'!$F$4:$F$1347,'Categorias'!$E$4:$E$1347,B229,'Categorias'!$A$4:$A$1347,I$3)</x:f>
        <x:v>0</x:v>
      </x:c>
      <x:c r="J229" s="28" t="n">
        <x:f>SUMIFS('Categorias'!$F$4:$F$1347,'Categorias'!$E$4:$E$1347,B229,'Categorias'!$A$4:$A$1347,J$3)</x:f>
        <x:v>0</x:v>
      </x:c>
      <x:c r="K229" s="28" t="n">
        <x:f>SUMIFS('Categorias'!$F$4:$F$1347,'Categorias'!$E$4:$E$1347,B229,'Categorias'!$A$4:$A$1347,K$3)</x:f>
        <x:v>0</x:v>
      </x:c>
      <x:c r="L229" s="28" t="n">
        <x:f>SUMIFS('Categorias'!$F$4:$F$1347,'Categorias'!$E$4:$E$1347,B229,'Categorias'!$A$4:$A$1347,L$3)</x:f>
        <x:v>0</x:v>
      </x:c>
      <x:c r="M229" s="28" t="n">
        <x:f>SUMIFS('Categorias'!$F$4:$F$1347,'Categorias'!$E$4:$E$1347,B229,'Categorias'!$A$4:$A$1347,M$3)</x:f>
        <x:v>0</x:v>
      </x:c>
      <x:c r="N229" s="47" t="n">
        <x:f>SUMIFS('Categorias'!$F$4:$F$1347,'Categorias'!$E$4:$E$1347,B229,'Categorias'!$A$4:$A$1347,N$3)</x:f>
        <x:v>0</x:v>
      </x:c>
    </x:row>
    <x:row r="230">
      <x:c r="A230" s="39" t="n">
        <x:f>RANK.EQ(C230,$C$4:$C$273,0)</x:f>
        <x:v>227</x:v>
      </x:c>
      <x:c r="B230" s="40" t="str">
        <x:v>garotadeprograma</x:v>
      </x:c>
      <x:c r="C230" s="28" t="n">
        <x:f>SUMIF('Categorias'!$E$4:$E$1347,B230,'Categorias'!$F$4:$F$1347)</x:f>
        <x:v>3197</x:v>
      </x:c>
      <x:c r="D230" s="28" t="n">
        <x:f>SUMIFS('Categorias'!$F$4:$F$1347,'Categorias'!$E$4:$E$1347,B230,'Categorias'!$A$4:$A$1347,D$3)</x:f>
        <x:v>3197</x:v>
      </x:c>
      <x:c r="E230" s="28" t="n">
        <x:f>SUMIFS('Categorias'!$F$4:$F$1347,'Categorias'!$E$4:$E$1347,B230,'Categorias'!$A$4:$A$1347,E$3)</x:f>
        <x:v>0</x:v>
      </x:c>
      <x:c r="F230" s="28" t="n">
        <x:f>SUMIFS('Categorias'!$F$4:$F$1347,'Categorias'!$E$4:$E$1347,B230,'Categorias'!$A$4:$A$1347,F$3)</x:f>
        <x:v>0</x:v>
      </x:c>
      <x:c r="G230" s="28" t="n">
        <x:f>SUMIFS('Categorias'!$F$4:$F$1347,'Categorias'!$E$4:$E$1347,B230,'Categorias'!$A$4:$A$1347,G$3)</x:f>
        <x:v>0</x:v>
      </x:c>
      <x:c r="H230" s="28" t="n">
        <x:f>SUMIFS('Categorias'!$F$4:$F$1347,'Categorias'!$E$4:$E$1347,B230,'Categorias'!$A$4:$A$1347,H$3)</x:f>
        <x:v>0</x:v>
      </x:c>
      <x:c r="I230" s="28" t="n">
        <x:f>SUMIFS('Categorias'!$F$4:$F$1347,'Categorias'!$E$4:$E$1347,B230,'Categorias'!$A$4:$A$1347,I$3)</x:f>
        <x:v>0</x:v>
      </x:c>
      <x:c r="J230" s="28" t="n">
        <x:f>SUMIFS('Categorias'!$F$4:$F$1347,'Categorias'!$E$4:$E$1347,B230,'Categorias'!$A$4:$A$1347,J$3)</x:f>
        <x:v>0</x:v>
      </x:c>
      <x:c r="K230" s="28" t="n">
        <x:f>SUMIFS('Categorias'!$F$4:$F$1347,'Categorias'!$E$4:$E$1347,B230,'Categorias'!$A$4:$A$1347,K$3)</x:f>
        <x:v>0</x:v>
      </x:c>
      <x:c r="L230" s="28" t="n">
        <x:f>SUMIFS('Categorias'!$F$4:$F$1347,'Categorias'!$E$4:$E$1347,B230,'Categorias'!$A$4:$A$1347,L$3)</x:f>
        <x:v>0</x:v>
      </x:c>
      <x:c r="M230" s="28" t="n">
        <x:f>SUMIFS('Categorias'!$F$4:$F$1347,'Categorias'!$E$4:$E$1347,B230,'Categorias'!$A$4:$A$1347,M$3)</x:f>
        <x:v>0</x:v>
      </x:c>
      <x:c r="N230" s="47" t="n">
        <x:f>SUMIFS('Categorias'!$F$4:$F$1347,'Categorias'!$E$4:$E$1347,B230,'Categorias'!$A$4:$A$1347,N$3)</x:f>
        <x:v>0</x:v>
      </x:c>
    </x:row>
    <x:row r="231">
      <x:c r="A231" s="39" t="n">
        <x:f>RANK.EQ(C231,$C$4:$C$273,0)</x:f>
        <x:v>228</x:v>
      </x:c>
      <x:c r="B231" s="40" t="str">
        <x:v>nnnnnpox</x:v>
      </x:c>
      <x:c r="C231" s="28" t="n">
        <x:f>SUMIF('Categorias'!$E$4:$E$1347,B231,'Categorias'!$F$4:$F$1347)</x:f>
        <x:v>2680</x:v>
      </x:c>
      <x:c r="D231" s="28" t="n">
        <x:f>SUMIFS('Categorias'!$F$4:$F$1347,'Categorias'!$E$4:$E$1347,B231,'Categorias'!$A$4:$A$1347,D$3)</x:f>
        <x:v>2680</x:v>
      </x:c>
      <x:c r="E231" s="28" t="n">
        <x:f>SUMIFS('Categorias'!$F$4:$F$1347,'Categorias'!$E$4:$E$1347,B231,'Categorias'!$A$4:$A$1347,E$3)</x:f>
        <x:v>0</x:v>
      </x:c>
      <x:c r="F231" s="28" t="n">
        <x:f>SUMIFS('Categorias'!$F$4:$F$1347,'Categorias'!$E$4:$E$1347,B231,'Categorias'!$A$4:$A$1347,F$3)</x:f>
        <x:v>0</x:v>
      </x:c>
      <x:c r="G231" s="28" t="n">
        <x:f>SUMIFS('Categorias'!$F$4:$F$1347,'Categorias'!$E$4:$E$1347,B231,'Categorias'!$A$4:$A$1347,G$3)</x:f>
        <x:v>0</x:v>
      </x:c>
      <x:c r="H231" s="28" t="n">
        <x:f>SUMIFS('Categorias'!$F$4:$F$1347,'Categorias'!$E$4:$E$1347,B231,'Categorias'!$A$4:$A$1347,H$3)</x:f>
        <x:v>0</x:v>
      </x:c>
      <x:c r="I231" s="28" t="n">
        <x:f>SUMIFS('Categorias'!$F$4:$F$1347,'Categorias'!$E$4:$E$1347,B231,'Categorias'!$A$4:$A$1347,I$3)</x:f>
        <x:v>0</x:v>
      </x:c>
      <x:c r="J231" s="28" t="n">
        <x:f>SUMIFS('Categorias'!$F$4:$F$1347,'Categorias'!$E$4:$E$1347,B231,'Categorias'!$A$4:$A$1347,J$3)</x:f>
        <x:v>0</x:v>
      </x:c>
      <x:c r="K231" s="28" t="n">
        <x:f>SUMIFS('Categorias'!$F$4:$F$1347,'Categorias'!$E$4:$E$1347,B231,'Categorias'!$A$4:$A$1347,K$3)</x:f>
        <x:v>0</x:v>
      </x:c>
      <x:c r="L231" s="28" t="n">
        <x:f>SUMIFS('Categorias'!$F$4:$F$1347,'Categorias'!$E$4:$E$1347,B231,'Categorias'!$A$4:$A$1347,L$3)</x:f>
        <x:v>0</x:v>
      </x:c>
      <x:c r="M231" s="28" t="n">
        <x:f>SUMIFS('Categorias'!$F$4:$F$1347,'Categorias'!$E$4:$E$1347,B231,'Categorias'!$A$4:$A$1347,M$3)</x:f>
        <x:v>0</x:v>
      </x:c>
      <x:c r="N231" s="47" t="n">
        <x:f>SUMIFS('Categorias'!$F$4:$F$1347,'Categorias'!$E$4:$E$1347,B231,'Categorias'!$A$4:$A$1347,N$3)</x:f>
        <x:v>0</x:v>
      </x:c>
    </x:row>
    <x:row r="232">
      <x:c r="A232" s="39" t="n">
        <x:f>RANK.EQ(C232,$C$4:$C$273,0)</x:f>
        <x:v>229</x:v>
      </x:c>
      <x:c r="B232" s="40" t="str">
        <x:v>FVZX</x:v>
      </x:c>
      <x:c r="C232" s="28" t="n">
        <x:f>SUMIF('Categorias'!$E$4:$E$1347,B232,'Categorias'!$F$4:$F$1347)</x:f>
        <x:v>2668</x:v>
      </x:c>
      <x:c r="D232" s="28" t="n">
        <x:f>SUMIFS('Categorias'!$F$4:$F$1347,'Categorias'!$E$4:$E$1347,B232,'Categorias'!$A$4:$A$1347,D$3)</x:f>
        <x:v>2408</x:v>
      </x:c>
      <x:c r="E232" s="28" t="n">
        <x:f>SUMIFS('Categorias'!$F$4:$F$1347,'Categorias'!$E$4:$E$1347,B232,'Categorias'!$A$4:$A$1347,E$3)</x:f>
        <x:v>174</x:v>
      </x:c>
      <x:c r="F232" s="28" t="n">
        <x:f>SUMIFS('Categorias'!$F$4:$F$1347,'Categorias'!$E$4:$E$1347,B232,'Categorias'!$A$4:$A$1347,F$3)</x:f>
        <x:v>0</x:v>
      </x:c>
      <x:c r="G232" s="28" t="n">
        <x:f>SUMIFS('Categorias'!$F$4:$F$1347,'Categorias'!$E$4:$E$1347,B232,'Categorias'!$A$4:$A$1347,G$3)</x:f>
        <x:v>0</x:v>
      </x:c>
      <x:c r="H232" s="28" t="n">
        <x:f>SUMIFS('Categorias'!$F$4:$F$1347,'Categorias'!$E$4:$E$1347,B232,'Categorias'!$A$4:$A$1347,H$3)</x:f>
        <x:v>0</x:v>
      </x:c>
      <x:c r="I232" s="28" t="n">
        <x:f>SUMIFS('Categorias'!$F$4:$F$1347,'Categorias'!$E$4:$E$1347,B232,'Categorias'!$A$4:$A$1347,I$3)</x:f>
        <x:v>86</x:v>
      </x:c>
      <x:c r="J232" s="28" t="n">
        <x:f>SUMIFS('Categorias'!$F$4:$F$1347,'Categorias'!$E$4:$E$1347,B232,'Categorias'!$A$4:$A$1347,J$3)</x:f>
        <x:v>0</x:v>
      </x:c>
      <x:c r="K232" s="28" t="n">
        <x:f>SUMIFS('Categorias'!$F$4:$F$1347,'Categorias'!$E$4:$E$1347,B232,'Categorias'!$A$4:$A$1347,K$3)</x:f>
        <x:v>0</x:v>
      </x:c>
      <x:c r="L232" s="28" t="n">
        <x:f>SUMIFS('Categorias'!$F$4:$F$1347,'Categorias'!$E$4:$E$1347,B232,'Categorias'!$A$4:$A$1347,L$3)</x:f>
        <x:v>0</x:v>
      </x:c>
      <x:c r="M232" s="28" t="n">
        <x:f>SUMIFS('Categorias'!$F$4:$F$1347,'Categorias'!$E$4:$E$1347,B232,'Categorias'!$A$4:$A$1347,M$3)</x:f>
        <x:v>0</x:v>
      </x:c>
      <x:c r="N232" s="47" t="n">
        <x:f>SUMIFS('Categorias'!$F$4:$F$1347,'Categorias'!$E$4:$E$1347,B232,'Categorias'!$A$4:$A$1347,N$3)</x:f>
        <x:v>0</x:v>
      </x:c>
    </x:row>
    <x:row r="233">
      <x:c r="A233" s="39" t="n">
        <x:f>RANK.EQ(C233,$C$4:$C$273,0)</x:f>
        <x:v>230</x:v>
      </x:c>
      <x:c r="B233" s="40" t="str">
        <x:v>MRyeezy007</x:v>
      </x:c>
      <x:c r="C233" s="28" t="n">
        <x:f>SUMIF('Categorias'!$E$4:$E$1347,B233,'Categorias'!$F$4:$F$1347)</x:f>
        <x:v>2592</x:v>
      </x:c>
      <x:c r="D233" s="28" t="n">
        <x:f>SUMIFS('Categorias'!$F$4:$F$1347,'Categorias'!$E$4:$E$1347,B233,'Categorias'!$A$4:$A$1347,D$3)</x:f>
        <x:v>2436</x:v>
      </x:c>
      <x:c r="E233" s="28" t="n">
        <x:f>SUMIFS('Categorias'!$F$4:$F$1347,'Categorias'!$E$4:$E$1347,B233,'Categorias'!$A$4:$A$1347,E$3)</x:f>
        <x:v>156</x:v>
      </x:c>
      <x:c r="F233" s="28" t="n">
        <x:f>SUMIFS('Categorias'!$F$4:$F$1347,'Categorias'!$E$4:$E$1347,B233,'Categorias'!$A$4:$A$1347,F$3)</x:f>
        <x:v>0</x:v>
      </x:c>
      <x:c r="G233" s="28" t="n">
        <x:f>SUMIFS('Categorias'!$F$4:$F$1347,'Categorias'!$E$4:$E$1347,B233,'Categorias'!$A$4:$A$1347,G$3)</x:f>
        <x:v>0</x:v>
      </x:c>
      <x:c r="H233" s="28" t="n">
        <x:f>SUMIFS('Categorias'!$F$4:$F$1347,'Categorias'!$E$4:$E$1347,B233,'Categorias'!$A$4:$A$1347,H$3)</x:f>
        <x:v>0</x:v>
      </x:c>
      <x:c r="I233" s="28" t="n">
        <x:f>SUMIFS('Categorias'!$F$4:$F$1347,'Categorias'!$E$4:$E$1347,B233,'Categorias'!$A$4:$A$1347,I$3)</x:f>
        <x:v>0</x:v>
      </x:c>
      <x:c r="J233" s="28" t="n">
        <x:f>SUMIFS('Categorias'!$F$4:$F$1347,'Categorias'!$E$4:$E$1347,B233,'Categorias'!$A$4:$A$1347,J$3)</x:f>
        <x:v>0</x:v>
      </x:c>
      <x:c r="K233" s="28" t="n">
        <x:f>SUMIFS('Categorias'!$F$4:$F$1347,'Categorias'!$E$4:$E$1347,B233,'Categorias'!$A$4:$A$1347,K$3)</x:f>
        <x:v>0</x:v>
      </x:c>
      <x:c r="L233" s="28" t="n">
        <x:f>SUMIFS('Categorias'!$F$4:$F$1347,'Categorias'!$E$4:$E$1347,B233,'Categorias'!$A$4:$A$1347,L$3)</x:f>
        <x:v>0</x:v>
      </x:c>
      <x:c r="M233" s="28" t="n">
        <x:f>SUMIFS('Categorias'!$F$4:$F$1347,'Categorias'!$E$4:$E$1347,B233,'Categorias'!$A$4:$A$1347,M$3)</x:f>
        <x:v>0</x:v>
      </x:c>
      <x:c r="N233" s="47" t="n">
        <x:f>SUMIFS('Categorias'!$F$4:$F$1347,'Categorias'!$E$4:$E$1347,B233,'Categorias'!$A$4:$A$1347,N$3)</x:f>
        <x:v>0</x:v>
      </x:c>
    </x:row>
    <x:row r="234">
      <x:c r="A234" s="39" t="n">
        <x:f>RANK.EQ(C234,$C$4:$C$273,0)</x:f>
        <x:v>231</x:v>
      </x:c>
      <x:c r="B234" s="40" t="str">
        <x:v>RAPARIG4</x:v>
      </x:c>
      <x:c r="C234" s="28" t="n">
        <x:f>SUMIF('Categorias'!$E$4:$E$1347,B234,'Categorias'!$F$4:$F$1347)</x:f>
        <x:v>2160</x:v>
      </x:c>
      <x:c r="D234" s="28" t="n">
        <x:f>SUMIFS('Categorias'!$F$4:$F$1347,'Categorias'!$E$4:$E$1347,B234,'Categorias'!$A$4:$A$1347,D$3)</x:f>
        <x:v>2160</x:v>
      </x:c>
      <x:c r="E234" s="28" t="n">
        <x:f>SUMIFS('Categorias'!$F$4:$F$1347,'Categorias'!$E$4:$E$1347,B234,'Categorias'!$A$4:$A$1347,E$3)</x:f>
        <x:v>0</x:v>
      </x:c>
      <x:c r="F234" s="28" t="n">
        <x:f>SUMIFS('Categorias'!$F$4:$F$1347,'Categorias'!$E$4:$E$1347,B234,'Categorias'!$A$4:$A$1347,F$3)</x:f>
        <x:v>0</x:v>
      </x:c>
      <x:c r="G234" s="28" t="n">
        <x:f>SUMIFS('Categorias'!$F$4:$F$1347,'Categorias'!$E$4:$E$1347,B234,'Categorias'!$A$4:$A$1347,G$3)</x:f>
        <x:v>0</x:v>
      </x:c>
      <x:c r="H234" s="28" t="n">
        <x:f>SUMIFS('Categorias'!$F$4:$F$1347,'Categorias'!$E$4:$E$1347,B234,'Categorias'!$A$4:$A$1347,H$3)</x:f>
        <x:v>0</x:v>
      </x:c>
      <x:c r="I234" s="28" t="n">
        <x:f>SUMIFS('Categorias'!$F$4:$F$1347,'Categorias'!$E$4:$E$1347,B234,'Categorias'!$A$4:$A$1347,I$3)</x:f>
        <x:v>0</x:v>
      </x:c>
      <x:c r="J234" s="28" t="n">
        <x:f>SUMIFS('Categorias'!$F$4:$F$1347,'Categorias'!$E$4:$E$1347,B234,'Categorias'!$A$4:$A$1347,J$3)</x:f>
        <x:v>0</x:v>
      </x:c>
      <x:c r="K234" s="28" t="n">
        <x:f>SUMIFS('Categorias'!$F$4:$F$1347,'Categorias'!$E$4:$E$1347,B234,'Categorias'!$A$4:$A$1347,K$3)</x:f>
        <x:v>0</x:v>
      </x:c>
      <x:c r="L234" s="28" t="n">
        <x:f>SUMIFS('Categorias'!$F$4:$F$1347,'Categorias'!$E$4:$E$1347,B234,'Categorias'!$A$4:$A$1347,L$3)</x:f>
        <x:v>0</x:v>
      </x:c>
      <x:c r="M234" s="28" t="n">
        <x:f>SUMIFS('Categorias'!$F$4:$F$1347,'Categorias'!$E$4:$E$1347,B234,'Categorias'!$A$4:$A$1347,M$3)</x:f>
        <x:v>0</x:v>
      </x:c>
      <x:c r="N234" s="47" t="n">
        <x:f>SUMIFS('Categorias'!$F$4:$F$1347,'Categorias'!$E$4:$E$1347,B234,'Categorias'!$A$4:$A$1347,N$3)</x:f>
        <x:v>0</x:v>
      </x:c>
    </x:row>
    <x:row r="235">
      <x:c r="A235" s="39" t="n">
        <x:f>RANK.EQ(C235,$C$4:$C$273,0)</x:f>
        <x:v>232</x:v>
      </x:c>
      <x:c r="B235" s="40" t="str">
        <x:v>SainorViking</x:v>
      </x:c>
      <x:c r="C235" s="28" t="n">
        <x:f>SUMIF('Categorias'!$E$4:$E$1347,B235,'Categorias'!$F$4:$F$1347)</x:f>
        <x:v>2066</x:v>
      </x:c>
      <x:c r="D235" s="28" t="n">
        <x:f>SUMIFS('Categorias'!$F$4:$F$1347,'Categorias'!$E$4:$E$1347,B235,'Categorias'!$A$4:$A$1347,D$3)</x:f>
        <x:v>2035</x:v>
      </x:c>
      <x:c r="E235" s="28" t="n">
        <x:f>SUMIFS('Categorias'!$F$4:$F$1347,'Categorias'!$E$4:$E$1347,B235,'Categorias'!$A$4:$A$1347,E$3)</x:f>
        <x:v>31</x:v>
      </x:c>
      <x:c r="F235" s="28" t="n">
        <x:f>SUMIFS('Categorias'!$F$4:$F$1347,'Categorias'!$E$4:$E$1347,B235,'Categorias'!$A$4:$A$1347,F$3)</x:f>
        <x:v>0</x:v>
      </x:c>
      <x:c r="G235" s="28" t="n">
        <x:f>SUMIFS('Categorias'!$F$4:$F$1347,'Categorias'!$E$4:$E$1347,B235,'Categorias'!$A$4:$A$1347,G$3)</x:f>
        <x:v>0</x:v>
      </x:c>
      <x:c r="H235" s="28" t="n">
        <x:f>SUMIFS('Categorias'!$F$4:$F$1347,'Categorias'!$E$4:$E$1347,B235,'Categorias'!$A$4:$A$1347,H$3)</x:f>
        <x:v>0</x:v>
      </x:c>
      <x:c r="I235" s="28" t="n">
        <x:f>SUMIFS('Categorias'!$F$4:$F$1347,'Categorias'!$E$4:$E$1347,B235,'Categorias'!$A$4:$A$1347,I$3)</x:f>
        <x:v>0</x:v>
      </x:c>
      <x:c r="J235" s="28" t="n">
        <x:f>SUMIFS('Categorias'!$F$4:$F$1347,'Categorias'!$E$4:$E$1347,B235,'Categorias'!$A$4:$A$1347,J$3)</x:f>
        <x:v>0</x:v>
      </x:c>
      <x:c r="K235" s="28" t="n">
        <x:f>SUMIFS('Categorias'!$F$4:$F$1347,'Categorias'!$E$4:$E$1347,B235,'Categorias'!$A$4:$A$1347,K$3)</x:f>
        <x:v>0</x:v>
      </x:c>
      <x:c r="L235" s="28" t="n">
        <x:f>SUMIFS('Categorias'!$F$4:$F$1347,'Categorias'!$E$4:$E$1347,B235,'Categorias'!$A$4:$A$1347,L$3)</x:f>
        <x:v>0</x:v>
      </x:c>
      <x:c r="M235" s="28" t="n">
        <x:f>SUMIFS('Categorias'!$F$4:$F$1347,'Categorias'!$E$4:$E$1347,B235,'Categorias'!$A$4:$A$1347,M$3)</x:f>
        <x:v>0</x:v>
      </x:c>
      <x:c r="N235" s="47" t="n">
        <x:f>SUMIFS('Categorias'!$F$4:$F$1347,'Categorias'!$E$4:$E$1347,B235,'Categorias'!$A$4:$A$1347,N$3)</x:f>
        <x:v>0</x:v>
      </x:c>
    </x:row>
    <x:row r="236">
      <x:c r="A236" s="39" t="n">
        <x:f>RANK.EQ(C236,$C$4:$C$273,0)</x:f>
        <x:v>233</x:v>
      </x:c>
      <x:c r="B236" s="40" t="str">
        <x:v>Margitomen</x:v>
      </x:c>
      <x:c r="C236" s="28" t="n">
        <x:f>SUMIF('Categorias'!$E$4:$E$1347,B236,'Categorias'!$F$4:$F$1347)</x:f>
        <x:v>2004</x:v>
      </x:c>
      <x:c r="D236" s="28" t="n">
        <x:f>SUMIFS('Categorias'!$F$4:$F$1347,'Categorias'!$E$4:$E$1347,B236,'Categorias'!$A$4:$A$1347,D$3)</x:f>
        <x:v>1564</x:v>
      </x:c>
      <x:c r="E236" s="28" t="n">
        <x:f>SUMIFS('Categorias'!$F$4:$F$1347,'Categorias'!$E$4:$E$1347,B236,'Categorias'!$A$4:$A$1347,E$3)</x:f>
        <x:v>67</x:v>
      </x:c>
      <x:c r="F236" s="28" t="n">
        <x:f>SUMIFS('Categorias'!$F$4:$F$1347,'Categorias'!$E$4:$E$1347,B236,'Categorias'!$A$4:$A$1347,F$3)</x:f>
        <x:v>0</x:v>
      </x:c>
      <x:c r="G236" s="28" t="n">
        <x:f>SUMIFS('Categorias'!$F$4:$F$1347,'Categorias'!$E$4:$E$1347,B236,'Categorias'!$A$4:$A$1347,G$3)</x:f>
        <x:v>0</x:v>
      </x:c>
      <x:c r="H236" s="28" t="n">
        <x:f>SUMIFS('Categorias'!$F$4:$F$1347,'Categorias'!$E$4:$E$1347,B236,'Categorias'!$A$4:$A$1347,H$3)</x:f>
        <x:v>0</x:v>
      </x:c>
      <x:c r="I236" s="28" t="n">
        <x:f>SUMIFS('Categorias'!$F$4:$F$1347,'Categorias'!$E$4:$E$1347,B236,'Categorias'!$A$4:$A$1347,I$3)</x:f>
        <x:v>123</x:v>
      </x:c>
      <x:c r="J236" s="28" t="n">
        <x:f>SUMIFS('Categorias'!$F$4:$F$1347,'Categorias'!$E$4:$E$1347,B236,'Categorias'!$A$4:$A$1347,J$3)</x:f>
        <x:v>250</x:v>
      </x:c>
      <x:c r="K236" s="28" t="n">
        <x:f>SUMIFS('Categorias'!$F$4:$F$1347,'Categorias'!$E$4:$E$1347,B236,'Categorias'!$A$4:$A$1347,K$3)</x:f>
        <x:v>0</x:v>
      </x:c>
      <x:c r="L236" s="28" t="n">
        <x:f>SUMIFS('Categorias'!$F$4:$F$1347,'Categorias'!$E$4:$E$1347,B236,'Categorias'!$A$4:$A$1347,L$3)</x:f>
        <x:v>0</x:v>
      </x:c>
      <x:c r="M236" s="28" t="n">
        <x:f>SUMIFS('Categorias'!$F$4:$F$1347,'Categorias'!$E$4:$E$1347,B236,'Categorias'!$A$4:$A$1347,M$3)</x:f>
        <x:v>0</x:v>
      </x:c>
      <x:c r="N236" s="47" t="n">
        <x:f>SUMIFS('Categorias'!$F$4:$F$1347,'Categorias'!$E$4:$E$1347,B236,'Categorias'!$A$4:$A$1347,N$3)</x:f>
        <x:v>0</x:v>
      </x:c>
    </x:row>
    <x:row r="237">
      <x:c r="A237" s="39" t="n">
        <x:f>RANK.EQ(C237,$C$4:$C$273,0)</x:f>
        <x:v>234</x:v>
      </x:c>
      <x:c r="B237" s="40" t="str">
        <x:v>ArmandoTeles</x:v>
      </x:c>
      <x:c r="C237" s="28" t="n">
        <x:f>SUMIF('Categorias'!$E$4:$E$1347,B237,'Categorias'!$F$4:$F$1347)</x:f>
        <x:v>1900</x:v>
      </x:c>
      <x:c r="D237" s="28" t="n">
        <x:f>SUMIFS('Categorias'!$F$4:$F$1347,'Categorias'!$E$4:$E$1347,B237,'Categorias'!$A$4:$A$1347,D$3)</x:f>
        <x:v>1871</x:v>
      </x:c>
      <x:c r="E237" s="28" t="n">
        <x:f>SUMIFS('Categorias'!$F$4:$F$1347,'Categorias'!$E$4:$E$1347,B237,'Categorias'!$A$4:$A$1347,E$3)</x:f>
        <x:v>29</x:v>
      </x:c>
      <x:c r="F237" s="28" t="n">
        <x:f>SUMIFS('Categorias'!$F$4:$F$1347,'Categorias'!$E$4:$E$1347,B237,'Categorias'!$A$4:$A$1347,F$3)</x:f>
        <x:v>0</x:v>
      </x:c>
      <x:c r="G237" s="28" t="n">
        <x:f>SUMIFS('Categorias'!$F$4:$F$1347,'Categorias'!$E$4:$E$1347,B237,'Categorias'!$A$4:$A$1347,G$3)</x:f>
        <x:v>0</x:v>
      </x:c>
      <x:c r="H237" s="28" t="n">
        <x:f>SUMIFS('Categorias'!$F$4:$F$1347,'Categorias'!$E$4:$E$1347,B237,'Categorias'!$A$4:$A$1347,H$3)</x:f>
        <x:v>0</x:v>
      </x:c>
      <x:c r="I237" s="28" t="n">
        <x:f>SUMIFS('Categorias'!$F$4:$F$1347,'Categorias'!$E$4:$E$1347,B237,'Categorias'!$A$4:$A$1347,I$3)</x:f>
        <x:v>0</x:v>
      </x:c>
      <x:c r="J237" s="28" t="n">
        <x:f>SUMIFS('Categorias'!$F$4:$F$1347,'Categorias'!$E$4:$E$1347,B237,'Categorias'!$A$4:$A$1347,J$3)</x:f>
        <x:v>0</x:v>
      </x:c>
      <x:c r="K237" s="28" t="n">
        <x:f>SUMIFS('Categorias'!$F$4:$F$1347,'Categorias'!$E$4:$E$1347,B237,'Categorias'!$A$4:$A$1347,K$3)</x:f>
        <x:v>0</x:v>
      </x:c>
      <x:c r="L237" s="28" t="n">
        <x:f>SUMIFS('Categorias'!$F$4:$F$1347,'Categorias'!$E$4:$E$1347,B237,'Categorias'!$A$4:$A$1347,L$3)</x:f>
        <x:v>0</x:v>
      </x:c>
      <x:c r="M237" s="28" t="n">
        <x:f>SUMIFS('Categorias'!$F$4:$F$1347,'Categorias'!$E$4:$E$1347,B237,'Categorias'!$A$4:$A$1347,M$3)</x:f>
        <x:v>0</x:v>
      </x:c>
      <x:c r="N237" s="47" t="n">
        <x:f>SUMIFS('Categorias'!$F$4:$F$1347,'Categorias'!$E$4:$E$1347,B237,'Categorias'!$A$4:$A$1347,N$3)</x:f>
        <x:v>0</x:v>
      </x:c>
    </x:row>
    <x:row r="238">
      <x:c r="A238" s="39" t="n">
        <x:f>RANK.EQ(C238,$C$4:$C$273,0)</x:f>
        <x:v>235</x:v>
      </x:c>
      <x:c r="B238" s="40" t="str">
        <x:v>J061H</x:v>
      </x:c>
      <x:c r="C238" s="28" t="n">
        <x:f>SUMIF('Categorias'!$E$4:$E$1347,B238,'Categorias'!$F$4:$F$1347)</x:f>
        <x:v>1783</x:v>
      </x:c>
      <x:c r="D238" s="28" t="n">
        <x:f>SUMIFS('Categorias'!$F$4:$F$1347,'Categorias'!$E$4:$E$1347,B238,'Categorias'!$A$4:$A$1347,D$3)</x:f>
        <x:v>1783</x:v>
      </x:c>
      <x:c r="E238" s="28" t="n">
        <x:f>SUMIFS('Categorias'!$F$4:$F$1347,'Categorias'!$E$4:$E$1347,B238,'Categorias'!$A$4:$A$1347,E$3)</x:f>
        <x:v>0</x:v>
      </x:c>
      <x:c r="F238" s="28" t="n">
        <x:f>SUMIFS('Categorias'!$F$4:$F$1347,'Categorias'!$E$4:$E$1347,B238,'Categorias'!$A$4:$A$1347,F$3)</x:f>
        <x:v>0</x:v>
      </x:c>
      <x:c r="G238" s="28" t="n">
        <x:f>SUMIFS('Categorias'!$F$4:$F$1347,'Categorias'!$E$4:$E$1347,B238,'Categorias'!$A$4:$A$1347,G$3)</x:f>
        <x:v>0</x:v>
      </x:c>
      <x:c r="H238" s="28" t="n">
        <x:f>SUMIFS('Categorias'!$F$4:$F$1347,'Categorias'!$E$4:$E$1347,B238,'Categorias'!$A$4:$A$1347,H$3)</x:f>
        <x:v>0</x:v>
      </x:c>
      <x:c r="I238" s="28" t="n">
        <x:f>SUMIFS('Categorias'!$F$4:$F$1347,'Categorias'!$E$4:$E$1347,B238,'Categorias'!$A$4:$A$1347,I$3)</x:f>
        <x:v>0</x:v>
      </x:c>
      <x:c r="J238" s="28" t="n">
        <x:f>SUMIFS('Categorias'!$F$4:$F$1347,'Categorias'!$E$4:$E$1347,B238,'Categorias'!$A$4:$A$1347,J$3)</x:f>
        <x:v>0</x:v>
      </x:c>
      <x:c r="K238" s="28" t="n">
        <x:f>SUMIFS('Categorias'!$F$4:$F$1347,'Categorias'!$E$4:$E$1347,B238,'Categorias'!$A$4:$A$1347,K$3)</x:f>
        <x:v>0</x:v>
      </x:c>
      <x:c r="L238" s="28" t="n">
        <x:f>SUMIFS('Categorias'!$F$4:$F$1347,'Categorias'!$E$4:$E$1347,B238,'Categorias'!$A$4:$A$1347,L$3)</x:f>
        <x:v>0</x:v>
      </x:c>
      <x:c r="M238" s="28" t="n">
        <x:f>SUMIFS('Categorias'!$F$4:$F$1347,'Categorias'!$E$4:$E$1347,B238,'Categorias'!$A$4:$A$1347,M$3)</x:f>
        <x:v>0</x:v>
      </x:c>
      <x:c r="N238" s="47" t="n">
        <x:f>SUMIFS('Categorias'!$F$4:$F$1347,'Categorias'!$E$4:$E$1347,B238,'Categorias'!$A$4:$A$1347,N$3)</x:f>
        <x:v>0</x:v>
      </x:c>
    </x:row>
    <x:row r="239">
      <x:c r="A239" s="39" t="n">
        <x:f>RANK.EQ(C239,$C$4:$C$273,0)</x:f>
        <x:v>236</x:v>
      </x:c>
      <x:c r="B239" s="40" t="str">
        <x:v>H1gor</x:v>
      </x:c>
      <x:c r="C239" s="28" t="n">
        <x:f>SUMIF('Categorias'!$E$4:$E$1347,B239,'Categorias'!$F$4:$F$1347)</x:f>
        <x:v>1720</x:v>
      </x:c>
      <x:c r="D239" s="28" t="n">
        <x:f>SUMIFS('Categorias'!$F$4:$F$1347,'Categorias'!$E$4:$E$1347,B239,'Categorias'!$A$4:$A$1347,D$3)</x:f>
        <x:v>0</x:v>
      </x:c>
      <x:c r="E239" s="28" t="n">
        <x:f>SUMIFS('Categorias'!$F$4:$F$1347,'Categorias'!$E$4:$E$1347,B239,'Categorias'!$A$4:$A$1347,E$3)</x:f>
        <x:v>110</x:v>
      </x:c>
      <x:c r="F239" s="28" t="n">
        <x:f>SUMIFS('Categorias'!$F$4:$F$1347,'Categorias'!$E$4:$E$1347,B239,'Categorias'!$A$4:$A$1347,F$3)</x:f>
        <x:v>0</x:v>
      </x:c>
      <x:c r="G239" s="28" t="n">
        <x:f>SUMIFS('Categorias'!$F$4:$F$1347,'Categorias'!$E$4:$E$1347,B239,'Categorias'!$A$4:$A$1347,G$3)</x:f>
        <x:v>0</x:v>
      </x:c>
      <x:c r="H239" s="28" t="n">
        <x:f>SUMIFS('Categorias'!$F$4:$F$1347,'Categorias'!$E$4:$E$1347,B239,'Categorias'!$A$4:$A$1347,H$3)</x:f>
        <x:v>1610</x:v>
      </x:c>
      <x:c r="I239" s="28" t="n">
        <x:f>SUMIFS('Categorias'!$F$4:$F$1347,'Categorias'!$E$4:$E$1347,B239,'Categorias'!$A$4:$A$1347,I$3)</x:f>
        <x:v>0</x:v>
      </x:c>
      <x:c r="J239" s="28" t="n">
        <x:f>SUMIFS('Categorias'!$F$4:$F$1347,'Categorias'!$E$4:$E$1347,B239,'Categorias'!$A$4:$A$1347,J$3)</x:f>
        <x:v>0</x:v>
      </x:c>
      <x:c r="K239" s="28" t="n">
        <x:f>SUMIFS('Categorias'!$F$4:$F$1347,'Categorias'!$E$4:$E$1347,B239,'Categorias'!$A$4:$A$1347,K$3)</x:f>
        <x:v>0</x:v>
      </x:c>
      <x:c r="L239" s="28" t="n">
        <x:f>SUMIFS('Categorias'!$F$4:$F$1347,'Categorias'!$E$4:$E$1347,B239,'Categorias'!$A$4:$A$1347,L$3)</x:f>
        <x:v>0</x:v>
      </x:c>
      <x:c r="M239" s="28" t="n">
        <x:f>SUMIFS('Categorias'!$F$4:$F$1347,'Categorias'!$E$4:$E$1347,B239,'Categorias'!$A$4:$A$1347,M$3)</x:f>
        <x:v>0</x:v>
      </x:c>
      <x:c r="N239" s="47" t="n">
        <x:f>SUMIFS('Categorias'!$F$4:$F$1347,'Categorias'!$E$4:$E$1347,B239,'Categorias'!$A$4:$A$1347,N$3)</x:f>
        <x:v>0</x:v>
      </x:c>
    </x:row>
    <x:row r="240">
      <x:c r="A240" s="39" t="n">
        <x:f>RANK.EQ(C240,$C$4:$C$273,0)</x:f>
        <x:v>237</x:v>
      </x:c>
      <x:c r="B240" s="40" t="str">
        <x:v>BufasPT</x:v>
      </x:c>
      <x:c r="C240" s="28" t="n">
        <x:f>SUMIF('Categorias'!$E$4:$E$1347,B240,'Categorias'!$F$4:$F$1347)</x:f>
        <x:v>1476</x:v>
      </x:c>
      <x:c r="D240" s="28" t="n">
        <x:f>SUMIFS('Categorias'!$F$4:$F$1347,'Categorias'!$E$4:$E$1347,B240,'Categorias'!$A$4:$A$1347,D$3)</x:f>
        <x:v>1476</x:v>
      </x:c>
      <x:c r="E240" s="28" t="n">
        <x:f>SUMIFS('Categorias'!$F$4:$F$1347,'Categorias'!$E$4:$E$1347,B240,'Categorias'!$A$4:$A$1347,E$3)</x:f>
        <x:v>0</x:v>
      </x:c>
      <x:c r="F240" s="28" t="n">
        <x:f>SUMIFS('Categorias'!$F$4:$F$1347,'Categorias'!$E$4:$E$1347,B240,'Categorias'!$A$4:$A$1347,F$3)</x:f>
        <x:v>0</x:v>
      </x:c>
      <x:c r="G240" s="28" t="n">
        <x:f>SUMIFS('Categorias'!$F$4:$F$1347,'Categorias'!$E$4:$E$1347,B240,'Categorias'!$A$4:$A$1347,G$3)</x:f>
        <x:v>0</x:v>
      </x:c>
      <x:c r="H240" s="28" t="n">
        <x:f>SUMIFS('Categorias'!$F$4:$F$1347,'Categorias'!$E$4:$E$1347,B240,'Categorias'!$A$4:$A$1347,H$3)</x:f>
        <x:v>0</x:v>
      </x:c>
      <x:c r="I240" s="28" t="n">
        <x:f>SUMIFS('Categorias'!$F$4:$F$1347,'Categorias'!$E$4:$E$1347,B240,'Categorias'!$A$4:$A$1347,I$3)</x:f>
        <x:v>0</x:v>
      </x:c>
      <x:c r="J240" s="28" t="n">
        <x:f>SUMIFS('Categorias'!$F$4:$F$1347,'Categorias'!$E$4:$E$1347,B240,'Categorias'!$A$4:$A$1347,J$3)</x:f>
        <x:v>0</x:v>
      </x:c>
      <x:c r="K240" s="28" t="n">
        <x:f>SUMIFS('Categorias'!$F$4:$F$1347,'Categorias'!$E$4:$E$1347,B240,'Categorias'!$A$4:$A$1347,K$3)</x:f>
        <x:v>0</x:v>
      </x:c>
      <x:c r="L240" s="28" t="n">
        <x:f>SUMIFS('Categorias'!$F$4:$F$1347,'Categorias'!$E$4:$E$1347,B240,'Categorias'!$A$4:$A$1347,L$3)</x:f>
        <x:v>0</x:v>
      </x:c>
      <x:c r="M240" s="28" t="n">
        <x:f>SUMIFS('Categorias'!$F$4:$F$1347,'Categorias'!$E$4:$E$1347,B240,'Categorias'!$A$4:$A$1347,M$3)</x:f>
        <x:v>0</x:v>
      </x:c>
      <x:c r="N240" s="47" t="n">
        <x:f>SUMIFS('Categorias'!$F$4:$F$1347,'Categorias'!$E$4:$E$1347,B240,'Categorias'!$A$4:$A$1347,N$3)</x:f>
        <x:v>0</x:v>
      </x:c>
    </x:row>
    <x:row r="241">
      <x:c r="A241" s="39" t="n">
        <x:f>RANK.EQ(C241,$C$4:$C$273,0)</x:f>
        <x:v>238</x:v>
      </x:c>
      <x:c r="B241" s="40" t="str">
        <x:v>DeadlySnake</x:v>
      </x:c>
      <x:c r="C241" s="28" t="n">
        <x:f>SUMIF('Categorias'!$E$4:$E$1347,B241,'Categorias'!$F$4:$F$1347)</x:f>
        <x:v>1411</x:v>
      </x:c>
      <x:c r="D241" s="28" t="n">
        <x:f>SUMIFS('Categorias'!$F$4:$F$1347,'Categorias'!$E$4:$E$1347,B241,'Categorias'!$A$4:$A$1347,D$3)</x:f>
        <x:v>1411</x:v>
      </x:c>
      <x:c r="E241" s="28" t="n">
        <x:f>SUMIFS('Categorias'!$F$4:$F$1347,'Categorias'!$E$4:$E$1347,B241,'Categorias'!$A$4:$A$1347,E$3)</x:f>
        <x:v>0</x:v>
      </x:c>
      <x:c r="F241" s="28" t="n">
        <x:f>SUMIFS('Categorias'!$F$4:$F$1347,'Categorias'!$E$4:$E$1347,B241,'Categorias'!$A$4:$A$1347,F$3)</x:f>
        <x:v>0</x:v>
      </x:c>
      <x:c r="G241" s="28" t="n">
        <x:f>SUMIFS('Categorias'!$F$4:$F$1347,'Categorias'!$E$4:$E$1347,B241,'Categorias'!$A$4:$A$1347,G$3)</x:f>
        <x:v>0</x:v>
      </x:c>
      <x:c r="H241" s="28" t="n">
        <x:f>SUMIFS('Categorias'!$F$4:$F$1347,'Categorias'!$E$4:$E$1347,B241,'Categorias'!$A$4:$A$1347,H$3)</x:f>
        <x:v>0</x:v>
      </x:c>
      <x:c r="I241" s="28" t="n">
        <x:f>SUMIFS('Categorias'!$F$4:$F$1347,'Categorias'!$E$4:$E$1347,B241,'Categorias'!$A$4:$A$1347,I$3)</x:f>
        <x:v>0</x:v>
      </x:c>
      <x:c r="J241" s="28" t="n">
        <x:f>SUMIFS('Categorias'!$F$4:$F$1347,'Categorias'!$E$4:$E$1347,B241,'Categorias'!$A$4:$A$1347,J$3)</x:f>
        <x:v>0</x:v>
      </x:c>
      <x:c r="K241" s="28" t="n">
        <x:f>SUMIFS('Categorias'!$F$4:$F$1347,'Categorias'!$E$4:$E$1347,B241,'Categorias'!$A$4:$A$1347,K$3)</x:f>
        <x:v>0</x:v>
      </x:c>
      <x:c r="L241" s="28" t="n">
        <x:f>SUMIFS('Categorias'!$F$4:$F$1347,'Categorias'!$E$4:$E$1347,B241,'Categorias'!$A$4:$A$1347,L$3)</x:f>
        <x:v>0</x:v>
      </x:c>
      <x:c r="M241" s="28" t="n">
        <x:f>SUMIFS('Categorias'!$F$4:$F$1347,'Categorias'!$E$4:$E$1347,B241,'Categorias'!$A$4:$A$1347,M$3)</x:f>
        <x:v>0</x:v>
      </x:c>
      <x:c r="N241" s="47" t="n">
        <x:f>SUMIFS('Categorias'!$F$4:$F$1347,'Categorias'!$E$4:$E$1347,B241,'Categorias'!$A$4:$A$1347,N$3)</x:f>
        <x:v>0</x:v>
      </x:c>
    </x:row>
    <x:row r="242">
      <x:c r="A242" s="39" t="n">
        <x:f>RANK.EQ(C242,$C$4:$C$273,0)</x:f>
        <x:v>239</x:v>
      </x:c>
      <x:c r="B242" s="40" t="str">
        <x:v>Soamaldioado</x:v>
      </x:c>
      <x:c r="C242" s="28" t="n">
        <x:f>SUMIF('Categorias'!$E$4:$E$1347,B242,'Categorias'!$F$4:$F$1347)</x:f>
        <x:v>1358</x:v>
      </x:c>
      <x:c r="D242" s="28" t="n">
        <x:f>SUMIFS('Categorias'!$F$4:$F$1347,'Categorias'!$E$4:$E$1347,B242,'Categorias'!$A$4:$A$1347,D$3)</x:f>
        <x:v>1250</x:v>
      </x:c>
      <x:c r="E242" s="28" t="n">
        <x:f>SUMIFS('Categorias'!$F$4:$F$1347,'Categorias'!$E$4:$E$1347,B242,'Categorias'!$A$4:$A$1347,E$3)</x:f>
        <x:v>108</x:v>
      </x:c>
      <x:c r="F242" s="28" t="n">
        <x:f>SUMIFS('Categorias'!$F$4:$F$1347,'Categorias'!$E$4:$E$1347,B242,'Categorias'!$A$4:$A$1347,F$3)</x:f>
        <x:v>0</x:v>
      </x:c>
      <x:c r="G242" s="28" t="n">
        <x:f>SUMIFS('Categorias'!$F$4:$F$1347,'Categorias'!$E$4:$E$1347,B242,'Categorias'!$A$4:$A$1347,G$3)</x:f>
        <x:v>0</x:v>
      </x:c>
      <x:c r="H242" s="28" t="n">
        <x:f>SUMIFS('Categorias'!$F$4:$F$1347,'Categorias'!$E$4:$E$1347,B242,'Categorias'!$A$4:$A$1347,H$3)</x:f>
        <x:v>0</x:v>
      </x:c>
      <x:c r="I242" s="28" t="n">
        <x:f>SUMIFS('Categorias'!$F$4:$F$1347,'Categorias'!$E$4:$E$1347,B242,'Categorias'!$A$4:$A$1347,I$3)</x:f>
        <x:v>0</x:v>
      </x:c>
      <x:c r="J242" s="28" t="n">
        <x:f>SUMIFS('Categorias'!$F$4:$F$1347,'Categorias'!$E$4:$E$1347,B242,'Categorias'!$A$4:$A$1347,J$3)</x:f>
        <x:v>0</x:v>
      </x:c>
      <x:c r="K242" s="28" t="n">
        <x:f>SUMIFS('Categorias'!$F$4:$F$1347,'Categorias'!$E$4:$E$1347,B242,'Categorias'!$A$4:$A$1347,K$3)</x:f>
        <x:v>0</x:v>
      </x:c>
      <x:c r="L242" s="28" t="n">
        <x:f>SUMIFS('Categorias'!$F$4:$F$1347,'Categorias'!$E$4:$E$1347,B242,'Categorias'!$A$4:$A$1347,L$3)</x:f>
        <x:v>0</x:v>
      </x:c>
      <x:c r="M242" s="28" t="n">
        <x:f>SUMIFS('Categorias'!$F$4:$F$1347,'Categorias'!$E$4:$E$1347,B242,'Categorias'!$A$4:$A$1347,M$3)</x:f>
        <x:v>0</x:v>
      </x:c>
      <x:c r="N242" s="47" t="n">
        <x:f>SUMIFS('Categorias'!$F$4:$F$1347,'Categorias'!$E$4:$E$1347,B242,'Categorias'!$A$4:$A$1347,N$3)</x:f>
        <x:v>0</x:v>
      </x:c>
    </x:row>
    <x:row r="243">
      <x:c r="A243" s="39" t="n">
        <x:f>RANK.EQ(C243,$C$4:$C$273,0)</x:f>
        <x:v>240</x:v>
      </x:c>
      <x:c r="B243" s="40" t="str">
        <x:v>SHEIKdOPONTILHAO</x:v>
      </x:c>
      <x:c r="C243" s="28" t="n">
        <x:f>SUMIF('Categorias'!$E$4:$E$1347,B243,'Categorias'!$F$4:$F$1347)</x:f>
        <x:v>1312</x:v>
      </x:c>
      <x:c r="D243" s="28" t="n">
        <x:f>SUMIFS('Categorias'!$F$4:$F$1347,'Categorias'!$E$4:$E$1347,B243,'Categorias'!$A$4:$A$1347,D$3)</x:f>
        <x:v>58</x:v>
      </x:c>
      <x:c r="E243" s="28" t="n">
        <x:f>SUMIFS('Categorias'!$F$4:$F$1347,'Categorias'!$E$4:$E$1347,B243,'Categorias'!$A$4:$A$1347,E$3)</x:f>
        <x:v>0</x:v>
      </x:c>
      <x:c r="F243" s="28" t="n">
        <x:f>SUMIFS('Categorias'!$F$4:$F$1347,'Categorias'!$E$4:$E$1347,B243,'Categorias'!$A$4:$A$1347,F$3)</x:f>
        <x:v>0</x:v>
      </x:c>
      <x:c r="G243" s="28" t="n">
        <x:f>SUMIFS('Categorias'!$F$4:$F$1347,'Categorias'!$E$4:$E$1347,B243,'Categorias'!$A$4:$A$1347,G$3)</x:f>
        <x:v>0</x:v>
      </x:c>
      <x:c r="H243" s="28" t="n">
        <x:f>SUMIFS('Categorias'!$F$4:$F$1347,'Categorias'!$E$4:$E$1347,B243,'Categorias'!$A$4:$A$1347,H$3)</x:f>
        <x:v>0</x:v>
      </x:c>
      <x:c r="I243" s="28" t="n">
        <x:f>SUMIFS('Categorias'!$F$4:$F$1347,'Categorias'!$E$4:$E$1347,B243,'Categorias'!$A$4:$A$1347,I$3)</x:f>
        <x:v>0</x:v>
      </x:c>
      <x:c r="J243" s="28" t="n">
        <x:f>SUMIFS('Categorias'!$F$4:$F$1347,'Categorias'!$E$4:$E$1347,B243,'Categorias'!$A$4:$A$1347,J$3)</x:f>
        <x:v>0</x:v>
      </x:c>
      <x:c r="K243" s="28" t="n">
        <x:f>SUMIFS('Categorias'!$F$4:$F$1347,'Categorias'!$E$4:$E$1347,B243,'Categorias'!$A$4:$A$1347,K$3)</x:f>
        <x:v>0</x:v>
      </x:c>
      <x:c r="L243" s="28" t="n">
        <x:f>SUMIFS('Categorias'!$F$4:$F$1347,'Categorias'!$E$4:$E$1347,B243,'Categorias'!$A$4:$A$1347,L$3)</x:f>
        <x:v>0</x:v>
      </x:c>
      <x:c r="M243" s="28" t="n">
        <x:f>SUMIFS('Categorias'!$F$4:$F$1347,'Categorias'!$E$4:$E$1347,B243,'Categorias'!$A$4:$A$1347,M$3)</x:f>
        <x:v>0</x:v>
      </x:c>
      <x:c r="N243" s="47" t="n">
        <x:f>SUMIFS('Categorias'!$F$4:$F$1347,'Categorias'!$E$4:$E$1347,B243,'Categorias'!$A$4:$A$1347,N$3)</x:f>
        <x:v>0</x:v>
      </x:c>
    </x:row>
    <x:row r="244">
      <x:c r="A244" s="39" t="n">
        <x:f>RANK.EQ(C244,$C$4:$C$273,0)</x:f>
        <x:v>241</x:v>
      </x:c>
      <x:c r="B244" s="40" t="str">
        <x:v>lord3444</x:v>
      </x:c>
      <x:c r="C244" s="28" t="n">
        <x:f>SUMIF('Categorias'!$E$4:$E$1347,B244,'Categorias'!$F$4:$F$1347)</x:f>
        <x:v>1280</x:v>
      </x:c>
      <x:c r="D244" s="28" t="n">
        <x:f>SUMIFS('Categorias'!$F$4:$F$1347,'Categorias'!$E$4:$E$1347,B244,'Categorias'!$A$4:$A$1347,D$3)</x:f>
        <x:v>27</x:v>
      </x:c>
      <x:c r="E244" s="28" t="n">
        <x:f>SUMIFS('Categorias'!$F$4:$F$1347,'Categorias'!$E$4:$E$1347,B244,'Categorias'!$A$4:$A$1347,E$3)</x:f>
        <x:v>1</x:v>
      </x:c>
      <x:c r="F244" s="28" t="n">
        <x:f>SUMIFS('Categorias'!$F$4:$F$1347,'Categorias'!$E$4:$E$1347,B244,'Categorias'!$A$4:$A$1347,F$3)</x:f>
        <x:v>0</x:v>
      </x:c>
      <x:c r="G244" s="28" t="n">
        <x:f>SUMIFS('Categorias'!$F$4:$F$1347,'Categorias'!$E$4:$E$1347,B244,'Categorias'!$A$4:$A$1347,G$3)</x:f>
        <x:v>0</x:v>
      </x:c>
      <x:c r="H244" s="28" t="n">
        <x:f>SUMIFS('Categorias'!$F$4:$F$1347,'Categorias'!$E$4:$E$1347,B244,'Categorias'!$A$4:$A$1347,H$3)</x:f>
        <x:v>1252</x:v>
      </x:c>
      <x:c r="I244" s="28" t="n">
        <x:f>SUMIFS('Categorias'!$F$4:$F$1347,'Categorias'!$E$4:$E$1347,B244,'Categorias'!$A$4:$A$1347,I$3)</x:f>
        <x:v>0</x:v>
      </x:c>
      <x:c r="J244" s="28" t="n">
        <x:f>SUMIFS('Categorias'!$F$4:$F$1347,'Categorias'!$E$4:$E$1347,B244,'Categorias'!$A$4:$A$1347,J$3)</x:f>
        <x:v>0</x:v>
      </x:c>
      <x:c r="K244" s="28" t="n">
        <x:f>SUMIFS('Categorias'!$F$4:$F$1347,'Categorias'!$E$4:$E$1347,B244,'Categorias'!$A$4:$A$1347,K$3)</x:f>
        <x:v>0</x:v>
      </x:c>
      <x:c r="L244" s="28" t="n">
        <x:f>SUMIFS('Categorias'!$F$4:$F$1347,'Categorias'!$E$4:$E$1347,B244,'Categorias'!$A$4:$A$1347,L$3)</x:f>
        <x:v>0</x:v>
      </x:c>
      <x:c r="M244" s="28" t="n">
        <x:f>SUMIFS('Categorias'!$F$4:$F$1347,'Categorias'!$E$4:$E$1347,B244,'Categorias'!$A$4:$A$1347,M$3)</x:f>
        <x:v>0</x:v>
      </x:c>
      <x:c r="N244" s="47" t="n">
        <x:f>SUMIFS('Categorias'!$F$4:$F$1347,'Categorias'!$E$4:$E$1347,B244,'Categorias'!$A$4:$A$1347,N$3)</x:f>
        <x:v>0</x:v>
      </x:c>
    </x:row>
    <x:row r="245">
      <x:c r="A245" s="39" t="n">
        <x:f>RANK.EQ(C245,$C$4:$C$273,0)</x:f>
        <x:v>242</x:v>
      </x:c>
      <x:c r="B245" s="40" t="str">
        <x:v>BotaAcara</x:v>
      </x:c>
      <x:c r="C245" s="28" t="n">
        <x:f>SUMIF('Categorias'!$E$4:$E$1347,B245,'Categorias'!$F$4:$F$1347)</x:f>
        <x:v>1043</x:v>
      </x:c>
      <x:c r="D245" s="28" t="n">
        <x:f>SUMIFS('Categorias'!$F$4:$F$1347,'Categorias'!$E$4:$E$1347,B245,'Categorias'!$A$4:$A$1347,D$3)</x:f>
        <x:v>820</x:v>
      </x:c>
      <x:c r="E245" s="28" t="n">
        <x:f>SUMIFS('Categorias'!$F$4:$F$1347,'Categorias'!$E$4:$E$1347,B245,'Categorias'!$A$4:$A$1347,E$3)</x:f>
        <x:v>42</x:v>
      </x:c>
      <x:c r="F245" s="28" t="n">
        <x:f>SUMIFS('Categorias'!$F$4:$F$1347,'Categorias'!$E$4:$E$1347,B245,'Categorias'!$A$4:$A$1347,F$3)</x:f>
        <x:v>0</x:v>
      </x:c>
      <x:c r="G245" s="28" t="n">
        <x:f>SUMIFS('Categorias'!$F$4:$F$1347,'Categorias'!$E$4:$E$1347,B245,'Categorias'!$A$4:$A$1347,G$3)</x:f>
        <x:v>0</x:v>
      </x:c>
      <x:c r="H245" s="28" t="n">
        <x:f>SUMIFS('Categorias'!$F$4:$F$1347,'Categorias'!$E$4:$E$1347,B245,'Categorias'!$A$4:$A$1347,H$3)</x:f>
        <x:v>181</x:v>
      </x:c>
      <x:c r="I245" s="28" t="n">
        <x:f>SUMIFS('Categorias'!$F$4:$F$1347,'Categorias'!$E$4:$E$1347,B245,'Categorias'!$A$4:$A$1347,I$3)</x:f>
        <x:v>0</x:v>
      </x:c>
      <x:c r="J245" s="28" t="n">
        <x:f>SUMIFS('Categorias'!$F$4:$F$1347,'Categorias'!$E$4:$E$1347,B245,'Categorias'!$A$4:$A$1347,J$3)</x:f>
        <x:v>0</x:v>
      </x:c>
      <x:c r="K245" s="28" t="n">
        <x:f>SUMIFS('Categorias'!$F$4:$F$1347,'Categorias'!$E$4:$E$1347,B245,'Categorias'!$A$4:$A$1347,K$3)</x:f>
        <x:v>0</x:v>
      </x:c>
      <x:c r="L245" s="28" t="n">
        <x:f>SUMIFS('Categorias'!$F$4:$F$1347,'Categorias'!$E$4:$E$1347,B245,'Categorias'!$A$4:$A$1347,L$3)</x:f>
        <x:v>0</x:v>
      </x:c>
      <x:c r="M245" s="28" t="n">
        <x:f>SUMIFS('Categorias'!$F$4:$F$1347,'Categorias'!$E$4:$E$1347,B245,'Categorias'!$A$4:$A$1347,M$3)</x:f>
        <x:v>0</x:v>
      </x:c>
      <x:c r="N245" s="47" t="n">
        <x:f>SUMIFS('Categorias'!$F$4:$F$1347,'Categorias'!$E$4:$E$1347,B245,'Categorias'!$A$4:$A$1347,N$3)</x:f>
        <x:v>0</x:v>
      </x:c>
    </x:row>
    <x:row r="246">
      <x:c r="A246" s="39" t="n">
        <x:f>RANK.EQ(C246,$C$4:$C$273,0)</x:f>
        <x:v>243</x:v>
      </x:c>
      <x:c r="B246" s="40" t="str">
        <x:v>Kaduuuuu</x:v>
      </x:c>
      <x:c r="C246" s="28" t="n">
        <x:f>SUMIF('Categorias'!$E$4:$E$1347,B246,'Categorias'!$F$4:$F$1347)</x:f>
        <x:v>666</x:v>
      </x:c>
      <x:c r="D246" s="28" t="n">
        <x:f>SUMIFS('Categorias'!$F$4:$F$1347,'Categorias'!$E$4:$E$1347,B246,'Categorias'!$A$4:$A$1347,D$3)</x:f>
        <x:v>0</x:v>
      </x:c>
      <x:c r="E246" s="28" t="n">
        <x:f>SUMIFS('Categorias'!$F$4:$F$1347,'Categorias'!$E$4:$E$1347,B246,'Categorias'!$A$4:$A$1347,E$3)</x:f>
        <x:v>427</x:v>
      </x:c>
      <x:c r="F246" s="28" t="n">
        <x:f>SUMIFS('Categorias'!$F$4:$F$1347,'Categorias'!$E$4:$E$1347,B246,'Categorias'!$A$4:$A$1347,F$3)</x:f>
        <x:v>0</x:v>
      </x:c>
      <x:c r="G246" s="28" t="n">
        <x:f>SUMIFS('Categorias'!$F$4:$F$1347,'Categorias'!$E$4:$E$1347,B246,'Categorias'!$A$4:$A$1347,G$3)</x:f>
        <x:v>0</x:v>
      </x:c>
      <x:c r="H246" s="28" t="n">
        <x:f>SUMIFS('Categorias'!$F$4:$F$1347,'Categorias'!$E$4:$E$1347,B246,'Categorias'!$A$4:$A$1347,H$3)</x:f>
        <x:v>239</x:v>
      </x:c>
      <x:c r="I246" s="28" t="n">
        <x:f>SUMIFS('Categorias'!$F$4:$F$1347,'Categorias'!$E$4:$E$1347,B246,'Categorias'!$A$4:$A$1347,I$3)</x:f>
        <x:v>0</x:v>
      </x:c>
      <x:c r="J246" s="28" t="n">
        <x:f>SUMIFS('Categorias'!$F$4:$F$1347,'Categorias'!$E$4:$E$1347,B246,'Categorias'!$A$4:$A$1347,J$3)</x:f>
        <x:v>0</x:v>
      </x:c>
      <x:c r="K246" s="28" t="n">
        <x:f>SUMIFS('Categorias'!$F$4:$F$1347,'Categorias'!$E$4:$E$1347,B246,'Categorias'!$A$4:$A$1347,K$3)</x:f>
        <x:v>0</x:v>
      </x:c>
      <x:c r="L246" s="28" t="n">
        <x:f>SUMIFS('Categorias'!$F$4:$F$1347,'Categorias'!$E$4:$E$1347,B246,'Categorias'!$A$4:$A$1347,L$3)</x:f>
        <x:v>0</x:v>
      </x:c>
      <x:c r="M246" s="28" t="n">
        <x:f>SUMIFS('Categorias'!$F$4:$F$1347,'Categorias'!$E$4:$E$1347,B246,'Categorias'!$A$4:$A$1347,M$3)</x:f>
        <x:v>0</x:v>
      </x:c>
      <x:c r="N246" s="47" t="n">
        <x:f>SUMIFS('Categorias'!$F$4:$F$1347,'Categorias'!$E$4:$E$1347,B246,'Categorias'!$A$4:$A$1347,N$3)</x:f>
        <x:v>0</x:v>
      </x:c>
    </x:row>
    <x:row r="247">
      <x:c r="A247" s="39" t="n">
        <x:f>RANK.EQ(C247,$C$4:$C$273,0)</x:f>
        <x:v>244</x:v>
      </x:c>
      <x:c r="B247" s="40" t="str">
        <x:v>ElizabethR</x:v>
      </x:c>
      <x:c r="C247" s="28" t="n">
        <x:f>SUMIF('Categorias'!$E$4:$E$1347,B247,'Categorias'!$F$4:$F$1347)</x:f>
        <x:v>249</x:v>
      </x:c>
      <x:c r="D247" s="28" t="n">
        <x:f>SUMIFS('Categorias'!$F$4:$F$1347,'Categorias'!$E$4:$E$1347,B247,'Categorias'!$A$4:$A$1347,D$3)</x:f>
        <x:v>249</x:v>
      </x:c>
      <x:c r="E247" s="28" t="n">
        <x:f>SUMIFS('Categorias'!$F$4:$F$1347,'Categorias'!$E$4:$E$1347,B247,'Categorias'!$A$4:$A$1347,E$3)</x:f>
        <x:v>0</x:v>
      </x:c>
      <x:c r="F247" s="28" t="n">
        <x:f>SUMIFS('Categorias'!$F$4:$F$1347,'Categorias'!$E$4:$E$1347,B247,'Categorias'!$A$4:$A$1347,F$3)</x:f>
        <x:v>0</x:v>
      </x:c>
      <x:c r="G247" s="28" t="n">
        <x:f>SUMIFS('Categorias'!$F$4:$F$1347,'Categorias'!$E$4:$E$1347,B247,'Categorias'!$A$4:$A$1347,G$3)</x:f>
        <x:v>0</x:v>
      </x:c>
      <x:c r="H247" s="28" t="n">
        <x:f>SUMIFS('Categorias'!$F$4:$F$1347,'Categorias'!$E$4:$E$1347,B247,'Categorias'!$A$4:$A$1347,H$3)</x:f>
        <x:v>0</x:v>
      </x:c>
      <x:c r="I247" s="28" t="n">
        <x:f>SUMIFS('Categorias'!$F$4:$F$1347,'Categorias'!$E$4:$E$1347,B247,'Categorias'!$A$4:$A$1347,I$3)</x:f>
        <x:v>0</x:v>
      </x:c>
      <x:c r="J247" s="28" t="n">
        <x:f>SUMIFS('Categorias'!$F$4:$F$1347,'Categorias'!$E$4:$E$1347,B247,'Categorias'!$A$4:$A$1347,J$3)</x:f>
        <x:v>0</x:v>
      </x:c>
      <x:c r="K247" s="28" t="n">
        <x:f>SUMIFS('Categorias'!$F$4:$F$1347,'Categorias'!$E$4:$E$1347,B247,'Categorias'!$A$4:$A$1347,K$3)</x:f>
        <x:v>0</x:v>
      </x:c>
      <x:c r="L247" s="28" t="n">
        <x:f>SUMIFS('Categorias'!$F$4:$F$1347,'Categorias'!$E$4:$E$1347,B247,'Categorias'!$A$4:$A$1347,L$3)</x:f>
        <x:v>0</x:v>
      </x:c>
      <x:c r="M247" s="28" t="n">
        <x:f>SUMIFS('Categorias'!$F$4:$F$1347,'Categorias'!$E$4:$E$1347,B247,'Categorias'!$A$4:$A$1347,M$3)</x:f>
        <x:v>0</x:v>
      </x:c>
      <x:c r="N247" s="47" t="n">
        <x:f>SUMIFS('Categorias'!$F$4:$F$1347,'Categorias'!$E$4:$E$1347,B247,'Categorias'!$A$4:$A$1347,N$3)</x:f>
        <x:v>0</x:v>
      </x:c>
    </x:row>
    <x:row r="248">
      <x:c r="A248" s="39" t="n">
        <x:f>RANK.EQ(C248,$C$4:$C$273,0)</x:f>
        <x:v>245</x:v>
      </x:c>
      <x:c r="B248" s="40" t="str">
        <x:v>tokaszi</x:v>
      </x:c>
      <x:c r="C248" s="28" t="n">
        <x:f>SUMIF('Categorias'!$E$4:$E$1347,B248,'Categorias'!$F$4:$F$1347)</x:f>
        <x:v>214</x:v>
      </x:c>
      <x:c r="D248" s="28" t="n">
        <x:f>SUMIFS('Categorias'!$F$4:$F$1347,'Categorias'!$E$4:$E$1347,B248,'Categorias'!$A$4:$A$1347,D$3)</x:f>
        <x:v>214</x:v>
      </x:c>
      <x:c r="E248" s="28" t="n">
        <x:f>SUMIFS('Categorias'!$F$4:$F$1347,'Categorias'!$E$4:$E$1347,B248,'Categorias'!$A$4:$A$1347,E$3)</x:f>
        <x:v>0</x:v>
      </x:c>
      <x:c r="F248" s="28" t="n">
        <x:f>SUMIFS('Categorias'!$F$4:$F$1347,'Categorias'!$E$4:$E$1347,B248,'Categorias'!$A$4:$A$1347,F$3)</x:f>
        <x:v>0</x:v>
      </x:c>
      <x:c r="G248" s="28" t="n">
        <x:f>SUMIFS('Categorias'!$F$4:$F$1347,'Categorias'!$E$4:$E$1347,B248,'Categorias'!$A$4:$A$1347,G$3)</x:f>
        <x:v>0</x:v>
      </x:c>
      <x:c r="H248" s="28" t="n">
        <x:f>SUMIFS('Categorias'!$F$4:$F$1347,'Categorias'!$E$4:$E$1347,B248,'Categorias'!$A$4:$A$1347,H$3)</x:f>
        <x:v>0</x:v>
      </x:c>
      <x:c r="I248" s="28" t="n">
        <x:f>SUMIFS('Categorias'!$F$4:$F$1347,'Categorias'!$E$4:$E$1347,B248,'Categorias'!$A$4:$A$1347,I$3)</x:f>
        <x:v>0</x:v>
      </x:c>
      <x:c r="J248" s="28" t="n">
        <x:f>SUMIFS('Categorias'!$F$4:$F$1347,'Categorias'!$E$4:$E$1347,B248,'Categorias'!$A$4:$A$1347,J$3)</x:f>
        <x:v>0</x:v>
      </x:c>
      <x:c r="K248" s="28" t="n">
        <x:f>SUMIFS('Categorias'!$F$4:$F$1347,'Categorias'!$E$4:$E$1347,B248,'Categorias'!$A$4:$A$1347,K$3)</x:f>
        <x:v>0</x:v>
      </x:c>
      <x:c r="L248" s="28" t="n">
        <x:f>SUMIFS('Categorias'!$F$4:$F$1347,'Categorias'!$E$4:$E$1347,B248,'Categorias'!$A$4:$A$1347,L$3)</x:f>
        <x:v>0</x:v>
      </x:c>
      <x:c r="M248" s="28" t="n">
        <x:f>SUMIFS('Categorias'!$F$4:$F$1347,'Categorias'!$E$4:$E$1347,B248,'Categorias'!$A$4:$A$1347,M$3)</x:f>
        <x:v>0</x:v>
      </x:c>
      <x:c r="N248" s="47" t="n">
        <x:f>SUMIFS('Categorias'!$F$4:$F$1347,'Categorias'!$E$4:$E$1347,B248,'Categorias'!$A$4:$A$1347,N$3)</x:f>
        <x:v>0</x:v>
      </x:c>
    </x:row>
    <x:row r="249">
      <x:c r="A249" s="39" t="n">
        <x:f>RANK.EQ(C249,$C$4:$C$273,0)</x:f>
        <x:v>246</x:v>
      </x:c>
      <x:c r="B249" s="40" t="str">
        <x:v>Hitsukan</x:v>
      </x:c>
      <x:c r="C249" s="28" t="n">
        <x:f>SUMIF('Categorias'!$E$4:$E$1347,B249,'Categorias'!$F$4:$F$1347)</x:f>
        <x:v>30</x:v>
      </x:c>
      <x:c r="D249" s="28" t="n">
        <x:f>SUMIFS('Categorias'!$F$4:$F$1347,'Categorias'!$E$4:$E$1347,B249,'Categorias'!$A$4:$A$1347,D$3)</x:f>
        <x:v>30</x:v>
      </x:c>
      <x:c r="E249" s="28" t="n">
        <x:f>SUMIFS('Categorias'!$F$4:$F$1347,'Categorias'!$E$4:$E$1347,B249,'Categorias'!$A$4:$A$1347,E$3)</x:f>
        <x:v>0</x:v>
      </x:c>
      <x:c r="F249" s="28" t="n">
        <x:f>SUMIFS('Categorias'!$F$4:$F$1347,'Categorias'!$E$4:$E$1347,B249,'Categorias'!$A$4:$A$1347,F$3)</x:f>
        <x:v>0</x:v>
      </x:c>
      <x:c r="G249" s="28" t="n">
        <x:f>SUMIFS('Categorias'!$F$4:$F$1347,'Categorias'!$E$4:$E$1347,B249,'Categorias'!$A$4:$A$1347,G$3)</x:f>
        <x:v>0</x:v>
      </x:c>
      <x:c r="H249" s="28" t="n">
        <x:f>SUMIFS('Categorias'!$F$4:$F$1347,'Categorias'!$E$4:$E$1347,B249,'Categorias'!$A$4:$A$1347,H$3)</x:f>
        <x:v>0</x:v>
      </x:c>
      <x:c r="I249" s="28" t="n">
        <x:f>SUMIFS('Categorias'!$F$4:$F$1347,'Categorias'!$E$4:$E$1347,B249,'Categorias'!$A$4:$A$1347,I$3)</x:f>
        <x:v>0</x:v>
      </x:c>
      <x:c r="J249" s="28" t="n">
        <x:f>SUMIFS('Categorias'!$F$4:$F$1347,'Categorias'!$E$4:$E$1347,B249,'Categorias'!$A$4:$A$1347,J$3)</x:f>
        <x:v>0</x:v>
      </x:c>
      <x:c r="K249" s="28" t="n">
        <x:f>SUMIFS('Categorias'!$F$4:$F$1347,'Categorias'!$E$4:$E$1347,B249,'Categorias'!$A$4:$A$1347,K$3)</x:f>
        <x:v>0</x:v>
      </x:c>
      <x:c r="L249" s="28" t="n">
        <x:f>SUMIFS('Categorias'!$F$4:$F$1347,'Categorias'!$E$4:$E$1347,B249,'Categorias'!$A$4:$A$1347,L$3)</x:f>
        <x:v>0</x:v>
      </x:c>
      <x:c r="M249" s="28" t="n">
        <x:f>SUMIFS('Categorias'!$F$4:$F$1347,'Categorias'!$E$4:$E$1347,B249,'Categorias'!$A$4:$A$1347,M$3)</x:f>
        <x:v>0</x:v>
      </x:c>
      <x:c r="N249" s="47" t="n">
        <x:f>SUMIFS('Categorias'!$F$4:$F$1347,'Categorias'!$E$4:$E$1347,B249,'Categorias'!$A$4:$A$1347,N$3)</x:f>
        <x:v>0</x:v>
      </x:c>
    </x:row>
    <x:row r="250">
      <x:c r="A250" s="39" t="n">
        <x:f>RANK.EQ(C250,$C$4:$C$273,0)</x:f>
        <x:v>247</x:v>
      </x:c>
      <x:c r="B250" s="40" t="str">
        <x:v>Avelha</x:v>
      </x:c>
      <x:c r="C250" s="28" t="n">
        <x:f>SUMIF('Categorias'!$E$4:$E$1347,B250,'Categorias'!$F$4:$F$1347)</x:f>
        <x:v>0</x:v>
      </x:c>
      <x:c r="D250" s="28" t="n">
        <x:f>SUMIFS('Categorias'!$F$4:$F$1347,'Categorias'!$E$4:$E$1347,B250,'Categorias'!$A$4:$A$1347,D$3)</x:f>
        <x:v>0</x:v>
      </x:c>
      <x:c r="E250" s="28" t="n">
        <x:f>SUMIFS('Categorias'!$F$4:$F$1347,'Categorias'!$E$4:$E$1347,B250,'Categorias'!$A$4:$A$1347,E$3)</x:f>
        <x:v>0</x:v>
      </x:c>
      <x:c r="F250" s="28" t="n">
        <x:f>SUMIFS('Categorias'!$F$4:$F$1347,'Categorias'!$E$4:$E$1347,B250,'Categorias'!$A$4:$A$1347,F$3)</x:f>
        <x:v>0</x:v>
      </x:c>
      <x:c r="G250" s="28" t="n">
        <x:f>SUMIFS('Categorias'!$F$4:$F$1347,'Categorias'!$E$4:$E$1347,B250,'Categorias'!$A$4:$A$1347,G$3)</x:f>
        <x:v>0</x:v>
      </x:c>
      <x:c r="H250" s="28" t="n">
        <x:f>SUMIFS('Categorias'!$F$4:$F$1347,'Categorias'!$E$4:$E$1347,B250,'Categorias'!$A$4:$A$1347,H$3)</x:f>
        <x:v>0</x:v>
      </x:c>
      <x:c r="I250" s="28" t="n">
        <x:f>SUMIFS('Categorias'!$F$4:$F$1347,'Categorias'!$E$4:$E$1347,B250,'Categorias'!$A$4:$A$1347,I$3)</x:f>
        <x:v>0</x:v>
      </x:c>
      <x:c r="J250" s="28" t="n">
        <x:f>SUMIFS('Categorias'!$F$4:$F$1347,'Categorias'!$E$4:$E$1347,B250,'Categorias'!$A$4:$A$1347,J$3)</x:f>
        <x:v>0</x:v>
      </x:c>
      <x:c r="K250" s="28" t="n">
        <x:f>SUMIFS('Categorias'!$F$4:$F$1347,'Categorias'!$E$4:$E$1347,B250,'Categorias'!$A$4:$A$1347,K$3)</x:f>
        <x:v>0</x:v>
      </x:c>
      <x:c r="L250" s="28" t="n">
        <x:f>SUMIFS('Categorias'!$F$4:$F$1347,'Categorias'!$E$4:$E$1347,B250,'Categorias'!$A$4:$A$1347,L$3)</x:f>
        <x:v>0</x:v>
      </x:c>
      <x:c r="M250" s="28" t="n">
        <x:f>SUMIFS('Categorias'!$F$4:$F$1347,'Categorias'!$E$4:$E$1347,B250,'Categorias'!$A$4:$A$1347,M$3)</x:f>
        <x:v>0</x:v>
      </x:c>
      <x:c r="N250" s="47" t="n">
        <x:f>SUMIFS('Categorias'!$F$4:$F$1347,'Categorias'!$E$4:$E$1347,B250,'Categorias'!$A$4:$A$1347,N$3)</x:f>
        <x:v>0</x:v>
      </x:c>
    </x:row>
    <x:row r="251">
      <x:c r="A251" s="39" t="n">
        <x:f>RANK.EQ(C251,$C$4:$C$273,0)</x:f>
        <x:v>247</x:v>
      </x:c>
      <x:c r="B251" s="40" t="str">
        <x:v>BuchaCaller</x:v>
      </x:c>
      <x:c r="C251" s="28" t="n">
        <x:f>SUMIF('Categorias'!$E$4:$E$1347,B251,'Categorias'!$F$4:$F$1347)</x:f>
        <x:v>0</x:v>
      </x:c>
      <x:c r="D251" s="28" t="n">
        <x:f>SUMIFS('Categorias'!$F$4:$F$1347,'Categorias'!$E$4:$E$1347,B251,'Categorias'!$A$4:$A$1347,D$3)</x:f>
        <x:v>0</x:v>
      </x:c>
      <x:c r="E251" s="28" t="n">
        <x:f>SUMIFS('Categorias'!$F$4:$F$1347,'Categorias'!$E$4:$E$1347,B251,'Categorias'!$A$4:$A$1347,E$3)</x:f>
        <x:v>0</x:v>
      </x:c>
      <x:c r="F251" s="28" t="n">
        <x:f>SUMIFS('Categorias'!$F$4:$F$1347,'Categorias'!$E$4:$E$1347,B251,'Categorias'!$A$4:$A$1347,F$3)</x:f>
        <x:v>0</x:v>
      </x:c>
      <x:c r="G251" s="28" t="n">
        <x:f>SUMIFS('Categorias'!$F$4:$F$1347,'Categorias'!$E$4:$E$1347,B251,'Categorias'!$A$4:$A$1347,G$3)</x:f>
        <x:v>0</x:v>
      </x:c>
      <x:c r="H251" s="28" t="n">
        <x:f>SUMIFS('Categorias'!$F$4:$F$1347,'Categorias'!$E$4:$E$1347,B251,'Categorias'!$A$4:$A$1347,H$3)</x:f>
        <x:v>0</x:v>
      </x:c>
      <x:c r="I251" s="28" t="n">
        <x:f>SUMIFS('Categorias'!$F$4:$F$1347,'Categorias'!$E$4:$E$1347,B251,'Categorias'!$A$4:$A$1347,I$3)</x:f>
        <x:v>0</x:v>
      </x:c>
      <x:c r="J251" s="28" t="n">
        <x:f>SUMIFS('Categorias'!$F$4:$F$1347,'Categorias'!$E$4:$E$1347,B251,'Categorias'!$A$4:$A$1347,J$3)</x:f>
        <x:v>0</x:v>
      </x:c>
      <x:c r="K251" s="28" t="n">
        <x:f>SUMIFS('Categorias'!$F$4:$F$1347,'Categorias'!$E$4:$E$1347,B251,'Categorias'!$A$4:$A$1347,K$3)</x:f>
        <x:v>0</x:v>
      </x:c>
      <x:c r="L251" s="28" t="n">
        <x:f>SUMIFS('Categorias'!$F$4:$F$1347,'Categorias'!$E$4:$E$1347,B251,'Categorias'!$A$4:$A$1347,L$3)</x:f>
        <x:v>0</x:v>
      </x:c>
      <x:c r="M251" s="28" t="n">
        <x:f>SUMIFS('Categorias'!$F$4:$F$1347,'Categorias'!$E$4:$E$1347,B251,'Categorias'!$A$4:$A$1347,M$3)</x:f>
        <x:v>0</x:v>
      </x:c>
      <x:c r="N251" s="47" t="n">
        <x:f>SUMIFS('Categorias'!$F$4:$F$1347,'Categorias'!$E$4:$E$1347,B251,'Categorias'!$A$4:$A$1347,N$3)</x:f>
        <x:v>0</x:v>
      </x:c>
    </x:row>
    <x:row r="252">
      <x:c r="A252" s="39" t="n">
        <x:f>RANK.EQ(C252,$C$4:$C$273,0)</x:f>
        <x:v>247</x:v>
      </x:c>
      <x:c r="B252" s="40" t="str">
        <x:v>CARLGALAGHER</x:v>
      </x:c>
      <x:c r="C252" s="28" t="n">
        <x:f>SUMIF('Categorias'!$E$4:$E$1347,B252,'Categorias'!$F$4:$F$1347)</x:f>
        <x:v>0</x:v>
      </x:c>
      <x:c r="D252" s="28" t="n">
        <x:f>SUMIFS('Categorias'!$F$4:$F$1347,'Categorias'!$E$4:$E$1347,B252,'Categorias'!$A$4:$A$1347,D$3)</x:f>
        <x:v>0</x:v>
      </x:c>
      <x:c r="E252" s="28" t="n">
        <x:f>SUMIFS('Categorias'!$F$4:$F$1347,'Categorias'!$E$4:$E$1347,B252,'Categorias'!$A$4:$A$1347,E$3)</x:f>
        <x:v>0</x:v>
      </x:c>
      <x:c r="F252" s="28" t="n">
        <x:f>SUMIFS('Categorias'!$F$4:$F$1347,'Categorias'!$E$4:$E$1347,B252,'Categorias'!$A$4:$A$1347,F$3)</x:f>
        <x:v>0</x:v>
      </x:c>
      <x:c r="G252" s="28" t="n">
        <x:f>SUMIFS('Categorias'!$F$4:$F$1347,'Categorias'!$E$4:$E$1347,B252,'Categorias'!$A$4:$A$1347,G$3)</x:f>
        <x:v>0</x:v>
      </x:c>
      <x:c r="H252" s="28" t="n">
        <x:f>SUMIFS('Categorias'!$F$4:$F$1347,'Categorias'!$E$4:$E$1347,B252,'Categorias'!$A$4:$A$1347,H$3)</x:f>
        <x:v>0</x:v>
      </x:c>
      <x:c r="I252" s="28" t="n">
        <x:f>SUMIFS('Categorias'!$F$4:$F$1347,'Categorias'!$E$4:$E$1347,B252,'Categorias'!$A$4:$A$1347,I$3)</x:f>
        <x:v>0</x:v>
      </x:c>
      <x:c r="J252" s="28" t="n">
        <x:f>SUMIFS('Categorias'!$F$4:$F$1347,'Categorias'!$E$4:$E$1347,B252,'Categorias'!$A$4:$A$1347,J$3)</x:f>
        <x:v>0</x:v>
      </x:c>
      <x:c r="K252" s="28" t="n">
        <x:f>SUMIFS('Categorias'!$F$4:$F$1347,'Categorias'!$E$4:$E$1347,B252,'Categorias'!$A$4:$A$1347,K$3)</x:f>
        <x:v>0</x:v>
      </x:c>
      <x:c r="L252" s="28" t="n">
        <x:f>SUMIFS('Categorias'!$F$4:$F$1347,'Categorias'!$E$4:$E$1347,B252,'Categorias'!$A$4:$A$1347,L$3)</x:f>
        <x:v>0</x:v>
      </x:c>
      <x:c r="M252" s="28" t="n">
        <x:f>SUMIFS('Categorias'!$F$4:$F$1347,'Categorias'!$E$4:$E$1347,B252,'Categorias'!$A$4:$A$1347,M$3)</x:f>
        <x:v>0</x:v>
      </x:c>
      <x:c r="N252" s="47" t="n">
        <x:f>SUMIFS('Categorias'!$F$4:$F$1347,'Categorias'!$E$4:$E$1347,B252,'Categorias'!$A$4:$A$1347,N$3)</x:f>
        <x:v>0</x:v>
      </x:c>
    </x:row>
    <x:row r="253">
      <x:c r="A253" s="39" t="n">
        <x:f>RANK.EQ(C253,$C$4:$C$273,0)</x:f>
        <x:v>247</x:v>
      </x:c>
      <x:c r="B253" s="40" t="str">
        <x:v>Caxa01</x:v>
      </x:c>
      <x:c r="C253" s="28" t="n">
        <x:f>SUMIF('Categorias'!$E$4:$E$1347,B253,'Categorias'!$F$4:$F$1347)</x:f>
        <x:v>0</x:v>
      </x:c>
      <x:c r="D253" s="28" t="n">
        <x:f>SUMIFS('Categorias'!$F$4:$F$1347,'Categorias'!$E$4:$E$1347,B253,'Categorias'!$A$4:$A$1347,D$3)</x:f>
        <x:v>0</x:v>
      </x:c>
      <x:c r="E253" s="28" t="n">
        <x:f>SUMIFS('Categorias'!$F$4:$F$1347,'Categorias'!$E$4:$E$1347,B253,'Categorias'!$A$4:$A$1347,E$3)</x:f>
        <x:v>0</x:v>
      </x:c>
      <x:c r="F253" s="28" t="n">
        <x:f>SUMIFS('Categorias'!$F$4:$F$1347,'Categorias'!$E$4:$E$1347,B253,'Categorias'!$A$4:$A$1347,F$3)</x:f>
        <x:v>0</x:v>
      </x:c>
      <x:c r="G253" s="28" t="n">
        <x:f>SUMIFS('Categorias'!$F$4:$F$1347,'Categorias'!$E$4:$E$1347,B253,'Categorias'!$A$4:$A$1347,G$3)</x:f>
        <x:v>0</x:v>
      </x:c>
      <x:c r="H253" s="28" t="n">
        <x:f>SUMIFS('Categorias'!$F$4:$F$1347,'Categorias'!$E$4:$E$1347,B253,'Categorias'!$A$4:$A$1347,H$3)</x:f>
        <x:v>0</x:v>
      </x:c>
      <x:c r="I253" s="28" t="n">
        <x:f>SUMIFS('Categorias'!$F$4:$F$1347,'Categorias'!$E$4:$E$1347,B253,'Categorias'!$A$4:$A$1347,I$3)</x:f>
        <x:v>0</x:v>
      </x:c>
      <x:c r="J253" s="28" t="n">
        <x:f>SUMIFS('Categorias'!$F$4:$F$1347,'Categorias'!$E$4:$E$1347,B253,'Categorias'!$A$4:$A$1347,J$3)</x:f>
        <x:v>0</x:v>
      </x:c>
      <x:c r="K253" s="28" t="n">
        <x:f>SUMIFS('Categorias'!$F$4:$F$1347,'Categorias'!$E$4:$E$1347,B253,'Categorias'!$A$4:$A$1347,K$3)</x:f>
        <x:v>0</x:v>
      </x:c>
      <x:c r="L253" s="28" t="n">
        <x:f>SUMIFS('Categorias'!$F$4:$F$1347,'Categorias'!$E$4:$E$1347,B253,'Categorias'!$A$4:$A$1347,L$3)</x:f>
        <x:v>0</x:v>
      </x:c>
      <x:c r="M253" s="28" t="n">
        <x:f>SUMIFS('Categorias'!$F$4:$F$1347,'Categorias'!$E$4:$E$1347,B253,'Categorias'!$A$4:$A$1347,M$3)</x:f>
        <x:v>0</x:v>
      </x:c>
      <x:c r="N253" s="47" t="n">
        <x:f>SUMIFS('Categorias'!$F$4:$F$1347,'Categorias'!$E$4:$E$1347,B253,'Categorias'!$A$4:$A$1347,N$3)</x:f>
        <x:v>0</x:v>
      </x:c>
    </x:row>
    <x:row r="254">
      <x:c r="A254" s="39" t="n">
        <x:f>RANK.EQ(C254,$C$4:$C$273,0)</x:f>
        <x:v>247</x:v>
      </x:c>
      <x:c r="B254" s="40" t="str">
        <x:v>HematomaBr</x:v>
      </x:c>
      <x:c r="C254" s="28" t="n">
        <x:f>SUMIF('Categorias'!$E$4:$E$1347,B254,'Categorias'!$F$4:$F$1347)</x:f>
        <x:v>0</x:v>
      </x:c>
      <x:c r="D254" s="28" t="n">
        <x:f>SUMIFS('Categorias'!$F$4:$F$1347,'Categorias'!$E$4:$E$1347,B254,'Categorias'!$A$4:$A$1347,D$3)</x:f>
        <x:v>0</x:v>
      </x:c>
      <x:c r="E254" s="28" t="n">
        <x:f>SUMIFS('Categorias'!$F$4:$F$1347,'Categorias'!$E$4:$E$1347,B254,'Categorias'!$A$4:$A$1347,E$3)</x:f>
        <x:v>0</x:v>
      </x:c>
      <x:c r="F254" s="28" t="n">
        <x:f>SUMIFS('Categorias'!$F$4:$F$1347,'Categorias'!$E$4:$E$1347,B254,'Categorias'!$A$4:$A$1347,F$3)</x:f>
        <x:v>0</x:v>
      </x:c>
      <x:c r="G254" s="28" t="n">
        <x:f>SUMIFS('Categorias'!$F$4:$F$1347,'Categorias'!$E$4:$E$1347,B254,'Categorias'!$A$4:$A$1347,G$3)</x:f>
        <x:v>0</x:v>
      </x:c>
      <x:c r="H254" s="28" t="n">
        <x:f>SUMIFS('Categorias'!$F$4:$F$1347,'Categorias'!$E$4:$E$1347,B254,'Categorias'!$A$4:$A$1347,H$3)</x:f>
        <x:v>0</x:v>
      </x:c>
      <x:c r="I254" s="28" t="n">
        <x:f>SUMIFS('Categorias'!$F$4:$F$1347,'Categorias'!$E$4:$E$1347,B254,'Categorias'!$A$4:$A$1347,I$3)</x:f>
        <x:v>0</x:v>
      </x:c>
      <x:c r="J254" s="28" t="n">
        <x:f>SUMIFS('Categorias'!$F$4:$F$1347,'Categorias'!$E$4:$E$1347,B254,'Categorias'!$A$4:$A$1347,J$3)</x:f>
        <x:v>0</x:v>
      </x:c>
      <x:c r="K254" s="28" t="n">
        <x:f>SUMIFS('Categorias'!$F$4:$F$1347,'Categorias'!$E$4:$E$1347,B254,'Categorias'!$A$4:$A$1347,K$3)</x:f>
        <x:v>0</x:v>
      </x:c>
      <x:c r="L254" s="28" t="n">
        <x:f>SUMIFS('Categorias'!$F$4:$F$1347,'Categorias'!$E$4:$E$1347,B254,'Categorias'!$A$4:$A$1347,L$3)</x:f>
        <x:v>0</x:v>
      </x:c>
      <x:c r="M254" s="28" t="n">
        <x:f>SUMIFS('Categorias'!$F$4:$F$1347,'Categorias'!$E$4:$E$1347,B254,'Categorias'!$A$4:$A$1347,M$3)</x:f>
        <x:v>0</x:v>
      </x:c>
      <x:c r="N254" s="47" t="n">
        <x:f>SUMIFS('Categorias'!$F$4:$F$1347,'Categorias'!$E$4:$E$1347,B254,'Categorias'!$A$4:$A$1347,N$3)</x:f>
        <x:v>0</x:v>
      </x:c>
    </x:row>
    <x:row r="255">
      <x:c r="A255" s="39" t="n">
        <x:f>RANK.EQ(C255,$C$4:$C$273,0)</x:f>
        <x:v>247</x:v>
      </x:c>
      <x:c r="B255" s="40" t="str">
        <x:v>Hlinha2</x:v>
      </x:c>
      <x:c r="C255" s="28" t="n">
        <x:f>SUMIF('Categorias'!$E$4:$E$1347,B255,'Categorias'!$F$4:$F$1347)</x:f>
        <x:v>0</x:v>
      </x:c>
      <x:c r="D255" s="28" t="n">
        <x:f>SUMIFS('Categorias'!$F$4:$F$1347,'Categorias'!$E$4:$E$1347,B255,'Categorias'!$A$4:$A$1347,D$3)</x:f>
        <x:v>0</x:v>
      </x:c>
      <x:c r="E255" s="28" t="n">
        <x:f>SUMIFS('Categorias'!$F$4:$F$1347,'Categorias'!$E$4:$E$1347,B255,'Categorias'!$A$4:$A$1347,E$3)</x:f>
        <x:v>0</x:v>
      </x:c>
      <x:c r="F255" s="28" t="n">
        <x:f>SUMIFS('Categorias'!$F$4:$F$1347,'Categorias'!$E$4:$E$1347,B255,'Categorias'!$A$4:$A$1347,F$3)</x:f>
        <x:v>0</x:v>
      </x:c>
      <x:c r="G255" s="28" t="n">
        <x:f>SUMIFS('Categorias'!$F$4:$F$1347,'Categorias'!$E$4:$E$1347,B255,'Categorias'!$A$4:$A$1347,G$3)</x:f>
        <x:v>0</x:v>
      </x:c>
      <x:c r="H255" s="28" t="n">
        <x:f>SUMIFS('Categorias'!$F$4:$F$1347,'Categorias'!$E$4:$E$1347,B255,'Categorias'!$A$4:$A$1347,H$3)</x:f>
        <x:v>0</x:v>
      </x:c>
      <x:c r="I255" s="28" t="n">
        <x:f>SUMIFS('Categorias'!$F$4:$F$1347,'Categorias'!$E$4:$E$1347,B255,'Categorias'!$A$4:$A$1347,I$3)</x:f>
        <x:v>0</x:v>
      </x:c>
      <x:c r="J255" s="28" t="n">
        <x:f>SUMIFS('Categorias'!$F$4:$F$1347,'Categorias'!$E$4:$E$1347,B255,'Categorias'!$A$4:$A$1347,J$3)</x:f>
        <x:v>0</x:v>
      </x:c>
      <x:c r="K255" s="28" t="n">
        <x:f>SUMIFS('Categorias'!$F$4:$F$1347,'Categorias'!$E$4:$E$1347,B255,'Categorias'!$A$4:$A$1347,K$3)</x:f>
        <x:v>0</x:v>
      </x:c>
      <x:c r="L255" s="28" t="n">
        <x:f>SUMIFS('Categorias'!$F$4:$F$1347,'Categorias'!$E$4:$E$1347,B255,'Categorias'!$A$4:$A$1347,L$3)</x:f>
        <x:v>0</x:v>
      </x:c>
      <x:c r="M255" s="28" t="n">
        <x:f>SUMIFS('Categorias'!$F$4:$F$1347,'Categorias'!$E$4:$E$1347,B255,'Categorias'!$A$4:$A$1347,M$3)</x:f>
        <x:v>0</x:v>
      </x:c>
      <x:c r="N255" s="47" t="n">
        <x:f>SUMIFS('Categorias'!$F$4:$F$1347,'Categorias'!$E$4:$E$1347,B255,'Categorias'!$A$4:$A$1347,N$3)</x:f>
        <x:v>0</x:v>
      </x:c>
    </x:row>
    <x:row r="256">
      <x:c r="A256" s="39" t="n">
        <x:f>RANK.EQ(C256,$C$4:$C$273,0)</x:f>
        <x:v>247</x:v>
      </x:c>
      <x:c r="B256" s="40" t="str">
        <x:v>HromeuPint0</x:v>
      </x:c>
      <x:c r="C256" s="28" t="n">
        <x:f>SUMIF('Categorias'!$E$4:$E$1347,B256,'Categorias'!$F$4:$F$1347)</x:f>
        <x:v>0</x:v>
      </x:c>
      <x:c r="D256" s="28" t="n">
        <x:f>SUMIFS('Categorias'!$F$4:$F$1347,'Categorias'!$E$4:$E$1347,B256,'Categorias'!$A$4:$A$1347,D$3)</x:f>
        <x:v>0</x:v>
      </x:c>
      <x:c r="E256" s="28" t="n">
        <x:f>SUMIFS('Categorias'!$F$4:$F$1347,'Categorias'!$E$4:$E$1347,B256,'Categorias'!$A$4:$A$1347,E$3)</x:f>
        <x:v>0</x:v>
      </x:c>
      <x:c r="F256" s="28" t="n">
        <x:f>SUMIFS('Categorias'!$F$4:$F$1347,'Categorias'!$E$4:$E$1347,B256,'Categorias'!$A$4:$A$1347,F$3)</x:f>
        <x:v>0</x:v>
      </x:c>
      <x:c r="G256" s="28" t="n">
        <x:f>SUMIFS('Categorias'!$F$4:$F$1347,'Categorias'!$E$4:$E$1347,B256,'Categorias'!$A$4:$A$1347,G$3)</x:f>
        <x:v>0</x:v>
      </x:c>
      <x:c r="H256" s="28" t="n">
        <x:f>SUMIFS('Categorias'!$F$4:$F$1347,'Categorias'!$E$4:$E$1347,B256,'Categorias'!$A$4:$A$1347,H$3)</x:f>
        <x:v>0</x:v>
      </x:c>
      <x:c r="I256" s="28" t="n">
        <x:f>SUMIFS('Categorias'!$F$4:$F$1347,'Categorias'!$E$4:$E$1347,B256,'Categorias'!$A$4:$A$1347,I$3)</x:f>
        <x:v>0</x:v>
      </x:c>
      <x:c r="J256" s="28" t="n">
        <x:f>SUMIFS('Categorias'!$F$4:$F$1347,'Categorias'!$E$4:$E$1347,B256,'Categorias'!$A$4:$A$1347,J$3)</x:f>
        <x:v>0</x:v>
      </x:c>
      <x:c r="K256" s="28" t="n">
        <x:f>SUMIFS('Categorias'!$F$4:$F$1347,'Categorias'!$E$4:$E$1347,B256,'Categorias'!$A$4:$A$1347,K$3)</x:f>
        <x:v>0</x:v>
      </x:c>
      <x:c r="L256" s="28" t="n">
        <x:f>SUMIFS('Categorias'!$F$4:$F$1347,'Categorias'!$E$4:$E$1347,B256,'Categorias'!$A$4:$A$1347,L$3)</x:f>
        <x:v>0</x:v>
      </x:c>
      <x:c r="M256" s="28" t="n">
        <x:f>SUMIFS('Categorias'!$F$4:$F$1347,'Categorias'!$E$4:$E$1347,B256,'Categorias'!$A$4:$A$1347,M$3)</x:f>
        <x:v>0</x:v>
      </x:c>
      <x:c r="N256" s="47" t="n">
        <x:f>SUMIFS('Categorias'!$F$4:$F$1347,'Categorias'!$E$4:$E$1347,B256,'Categorias'!$A$4:$A$1347,N$3)</x:f>
        <x:v>0</x:v>
      </x:c>
    </x:row>
    <x:row r="257">
      <x:c r="A257" s="39" t="n">
        <x:f>RANK.EQ(C257,$C$4:$C$273,0)</x:f>
        <x:v>247</x:v>
      </x:c>
      <x:c r="B257" s="40" t="str">
        <x:v>Itryit</x:v>
      </x:c>
      <x:c r="C257" s="28" t="n">
        <x:f>SUMIF('Categorias'!$E$4:$E$1347,B257,'Categorias'!$F$4:$F$1347)</x:f>
        <x:v>0</x:v>
      </x:c>
      <x:c r="D257" s="28" t="n">
        <x:f>SUMIFS('Categorias'!$F$4:$F$1347,'Categorias'!$E$4:$E$1347,B257,'Categorias'!$A$4:$A$1347,D$3)</x:f>
        <x:v>0</x:v>
      </x:c>
      <x:c r="E257" s="28" t="n">
        <x:f>SUMIFS('Categorias'!$F$4:$F$1347,'Categorias'!$E$4:$E$1347,B257,'Categorias'!$A$4:$A$1347,E$3)</x:f>
        <x:v>0</x:v>
      </x:c>
      <x:c r="F257" s="28" t="n">
        <x:f>SUMIFS('Categorias'!$F$4:$F$1347,'Categorias'!$E$4:$E$1347,B257,'Categorias'!$A$4:$A$1347,F$3)</x:f>
        <x:v>0</x:v>
      </x:c>
      <x:c r="G257" s="28" t="n">
        <x:f>SUMIFS('Categorias'!$F$4:$F$1347,'Categorias'!$E$4:$E$1347,B257,'Categorias'!$A$4:$A$1347,G$3)</x:f>
        <x:v>0</x:v>
      </x:c>
      <x:c r="H257" s="28" t="n">
        <x:f>SUMIFS('Categorias'!$F$4:$F$1347,'Categorias'!$E$4:$E$1347,B257,'Categorias'!$A$4:$A$1347,H$3)</x:f>
        <x:v>0</x:v>
      </x:c>
      <x:c r="I257" s="28" t="n">
        <x:f>SUMIFS('Categorias'!$F$4:$F$1347,'Categorias'!$E$4:$E$1347,B257,'Categorias'!$A$4:$A$1347,I$3)</x:f>
        <x:v>0</x:v>
      </x:c>
      <x:c r="J257" s="28" t="n">
        <x:f>SUMIFS('Categorias'!$F$4:$F$1347,'Categorias'!$E$4:$E$1347,B257,'Categorias'!$A$4:$A$1347,J$3)</x:f>
        <x:v>0</x:v>
      </x:c>
      <x:c r="K257" s="28" t="n">
        <x:f>SUMIFS('Categorias'!$F$4:$F$1347,'Categorias'!$E$4:$E$1347,B257,'Categorias'!$A$4:$A$1347,K$3)</x:f>
        <x:v>0</x:v>
      </x:c>
      <x:c r="L257" s="28" t="n">
        <x:f>SUMIFS('Categorias'!$F$4:$F$1347,'Categorias'!$E$4:$E$1347,B257,'Categorias'!$A$4:$A$1347,L$3)</x:f>
        <x:v>0</x:v>
      </x:c>
      <x:c r="M257" s="28" t="n">
        <x:f>SUMIFS('Categorias'!$F$4:$F$1347,'Categorias'!$E$4:$E$1347,B257,'Categorias'!$A$4:$A$1347,M$3)</x:f>
        <x:v>0</x:v>
      </x:c>
      <x:c r="N257" s="47" t="n">
        <x:f>SUMIFS('Categorias'!$F$4:$F$1347,'Categorias'!$E$4:$E$1347,B257,'Categorias'!$A$4:$A$1347,N$3)</x:f>
        <x:v>0</x:v>
      </x:c>
    </x:row>
    <x:row r="258">
      <x:c r="A258" s="39" t="n">
        <x:f>RANK.EQ(C258,$C$4:$C$273,0)</x:f>
        <x:v>247</x:v>
      </x:c>
      <x:c r="B258" s="40" t="str">
        <x:v>Leygrin</x:v>
      </x:c>
      <x:c r="C258" s="28" t="n">
        <x:f>SUMIF('Categorias'!$E$4:$E$1347,B258,'Categorias'!$F$4:$F$1347)</x:f>
        <x:v>0</x:v>
      </x:c>
      <x:c r="D258" s="28" t="n">
        <x:f>SUMIFS('Categorias'!$F$4:$F$1347,'Categorias'!$E$4:$E$1347,B258,'Categorias'!$A$4:$A$1347,D$3)</x:f>
        <x:v>0</x:v>
      </x:c>
      <x:c r="E258" s="28" t="n">
        <x:f>SUMIFS('Categorias'!$F$4:$F$1347,'Categorias'!$E$4:$E$1347,B258,'Categorias'!$A$4:$A$1347,E$3)</x:f>
        <x:v>0</x:v>
      </x:c>
      <x:c r="F258" s="28" t="n">
        <x:f>SUMIFS('Categorias'!$F$4:$F$1347,'Categorias'!$E$4:$E$1347,B258,'Categorias'!$A$4:$A$1347,F$3)</x:f>
        <x:v>0</x:v>
      </x:c>
      <x:c r="G258" s="28" t="n">
        <x:f>SUMIFS('Categorias'!$F$4:$F$1347,'Categorias'!$E$4:$E$1347,B258,'Categorias'!$A$4:$A$1347,G$3)</x:f>
        <x:v>0</x:v>
      </x:c>
      <x:c r="H258" s="28" t="n">
        <x:f>SUMIFS('Categorias'!$F$4:$F$1347,'Categorias'!$E$4:$E$1347,B258,'Categorias'!$A$4:$A$1347,H$3)</x:f>
        <x:v>0</x:v>
      </x:c>
      <x:c r="I258" s="28" t="n">
        <x:f>SUMIFS('Categorias'!$F$4:$F$1347,'Categorias'!$E$4:$E$1347,B258,'Categorias'!$A$4:$A$1347,I$3)</x:f>
        <x:v>0</x:v>
      </x:c>
      <x:c r="J258" s="28" t="n">
        <x:f>SUMIFS('Categorias'!$F$4:$F$1347,'Categorias'!$E$4:$E$1347,B258,'Categorias'!$A$4:$A$1347,J$3)</x:f>
        <x:v>0</x:v>
      </x:c>
      <x:c r="K258" s="28" t="n">
        <x:f>SUMIFS('Categorias'!$F$4:$F$1347,'Categorias'!$E$4:$E$1347,B258,'Categorias'!$A$4:$A$1347,K$3)</x:f>
        <x:v>0</x:v>
      </x:c>
      <x:c r="L258" s="28" t="n">
        <x:f>SUMIFS('Categorias'!$F$4:$F$1347,'Categorias'!$E$4:$E$1347,B258,'Categorias'!$A$4:$A$1347,L$3)</x:f>
        <x:v>0</x:v>
      </x:c>
      <x:c r="M258" s="28" t="n">
        <x:f>SUMIFS('Categorias'!$F$4:$F$1347,'Categorias'!$E$4:$E$1347,B258,'Categorias'!$A$4:$A$1347,M$3)</x:f>
        <x:v>0</x:v>
      </x:c>
      <x:c r="N258" s="47" t="n">
        <x:f>SUMIFS('Categorias'!$F$4:$F$1347,'Categorias'!$E$4:$E$1347,B258,'Categorias'!$A$4:$A$1347,N$3)</x:f>
        <x:v>0</x:v>
      </x:c>
    </x:row>
    <x:row r="259">
      <x:c r="A259" s="39" t="n">
        <x:f>RANK.EQ(C259,$C$4:$C$273,0)</x:f>
        <x:v>247</x:v>
      </x:c>
      <x:c r="B259" s="40" t="str">
        <x:v>MoneyMaker555</x:v>
      </x:c>
      <x:c r="C259" s="28" t="n">
        <x:f>SUMIF('Categorias'!$E$4:$E$1347,B259,'Categorias'!$F$4:$F$1347)</x:f>
        <x:v>0</x:v>
      </x:c>
      <x:c r="D259" s="28" t="n">
        <x:f>SUMIFS('Categorias'!$F$4:$F$1347,'Categorias'!$E$4:$E$1347,B259,'Categorias'!$A$4:$A$1347,D$3)</x:f>
        <x:v>0</x:v>
      </x:c>
      <x:c r="E259" s="28" t="n">
        <x:f>SUMIFS('Categorias'!$F$4:$F$1347,'Categorias'!$E$4:$E$1347,B259,'Categorias'!$A$4:$A$1347,E$3)</x:f>
        <x:v>0</x:v>
      </x:c>
      <x:c r="F259" s="28" t="n">
        <x:f>SUMIFS('Categorias'!$F$4:$F$1347,'Categorias'!$E$4:$E$1347,B259,'Categorias'!$A$4:$A$1347,F$3)</x:f>
        <x:v>0</x:v>
      </x:c>
      <x:c r="G259" s="28" t="n">
        <x:f>SUMIFS('Categorias'!$F$4:$F$1347,'Categorias'!$E$4:$E$1347,B259,'Categorias'!$A$4:$A$1347,G$3)</x:f>
        <x:v>0</x:v>
      </x:c>
      <x:c r="H259" s="28" t="n">
        <x:f>SUMIFS('Categorias'!$F$4:$F$1347,'Categorias'!$E$4:$E$1347,B259,'Categorias'!$A$4:$A$1347,H$3)</x:f>
        <x:v>0</x:v>
      </x:c>
      <x:c r="I259" s="28" t="n">
        <x:f>SUMIFS('Categorias'!$F$4:$F$1347,'Categorias'!$E$4:$E$1347,B259,'Categorias'!$A$4:$A$1347,I$3)</x:f>
        <x:v>0</x:v>
      </x:c>
      <x:c r="J259" s="28" t="n">
        <x:f>SUMIFS('Categorias'!$F$4:$F$1347,'Categorias'!$E$4:$E$1347,B259,'Categorias'!$A$4:$A$1347,J$3)</x:f>
        <x:v>0</x:v>
      </x:c>
      <x:c r="K259" s="28" t="n">
        <x:f>SUMIFS('Categorias'!$F$4:$F$1347,'Categorias'!$E$4:$E$1347,B259,'Categorias'!$A$4:$A$1347,K$3)</x:f>
        <x:v>0</x:v>
      </x:c>
      <x:c r="L259" s="28" t="n">
        <x:f>SUMIFS('Categorias'!$F$4:$F$1347,'Categorias'!$E$4:$E$1347,B259,'Categorias'!$A$4:$A$1347,L$3)</x:f>
        <x:v>0</x:v>
      </x:c>
      <x:c r="M259" s="28" t="n">
        <x:f>SUMIFS('Categorias'!$F$4:$F$1347,'Categorias'!$E$4:$E$1347,B259,'Categorias'!$A$4:$A$1347,M$3)</x:f>
        <x:v>0</x:v>
      </x:c>
      <x:c r="N259" s="47" t="n">
        <x:f>SUMIFS('Categorias'!$F$4:$F$1347,'Categorias'!$E$4:$E$1347,B259,'Categorias'!$A$4:$A$1347,N$3)</x:f>
        <x:v>0</x:v>
      </x:c>
    </x:row>
    <x:row r="260">
      <x:c r="A260" s="39" t="n">
        <x:f>RANK.EQ(C260,$C$4:$C$273,0)</x:f>
        <x:v>247</x:v>
      </x:c>
      <x:c r="B260" s="40" t="str">
        <x:v>muller001122</x:v>
      </x:c>
      <x:c r="C260" s="28" t="n">
        <x:f>SUMIF('Categorias'!$E$4:$E$1347,B260,'Categorias'!$F$4:$F$1347)</x:f>
        <x:v>0</x:v>
      </x:c>
      <x:c r="D260" s="28" t="n">
        <x:f>SUMIFS('Categorias'!$F$4:$F$1347,'Categorias'!$E$4:$E$1347,B260,'Categorias'!$A$4:$A$1347,D$3)</x:f>
        <x:v>0</x:v>
      </x:c>
      <x:c r="E260" s="28" t="n">
        <x:f>SUMIFS('Categorias'!$F$4:$F$1347,'Categorias'!$E$4:$E$1347,B260,'Categorias'!$A$4:$A$1347,E$3)</x:f>
        <x:v>0</x:v>
      </x:c>
      <x:c r="F260" s="28" t="n">
        <x:f>SUMIFS('Categorias'!$F$4:$F$1347,'Categorias'!$E$4:$E$1347,B260,'Categorias'!$A$4:$A$1347,F$3)</x:f>
        <x:v>0</x:v>
      </x:c>
      <x:c r="G260" s="28" t="n">
        <x:f>SUMIFS('Categorias'!$F$4:$F$1347,'Categorias'!$E$4:$E$1347,B260,'Categorias'!$A$4:$A$1347,G$3)</x:f>
        <x:v>0</x:v>
      </x:c>
      <x:c r="H260" s="28" t="n">
        <x:f>SUMIFS('Categorias'!$F$4:$F$1347,'Categorias'!$E$4:$E$1347,B260,'Categorias'!$A$4:$A$1347,H$3)</x:f>
        <x:v>0</x:v>
      </x:c>
      <x:c r="I260" s="28" t="n">
        <x:f>SUMIFS('Categorias'!$F$4:$F$1347,'Categorias'!$E$4:$E$1347,B260,'Categorias'!$A$4:$A$1347,I$3)</x:f>
        <x:v>0</x:v>
      </x:c>
      <x:c r="J260" s="28" t="n">
        <x:f>SUMIFS('Categorias'!$F$4:$F$1347,'Categorias'!$E$4:$E$1347,B260,'Categorias'!$A$4:$A$1347,J$3)</x:f>
        <x:v>0</x:v>
      </x:c>
      <x:c r="K260" s="28" t="n">
        <x:f>SUMIFS('Categorias'!$F$4:$F$1347,'Categorias'!$E$4:$E$1347,B260,'Categorias'!$A$4:$A$1347,K$3)</x:f>
        <x:v>0</x:v>
      </x:c>
      <x:c r="L260" s="28" t="n">
        <x:f>SUMIFS('Categorias'!$F$4:$F$1347,'Categorias'!$E$4:$E$1347,B260,'Categorias'!$A$4:$A$1347,L$3)</x:f>
        <x:v>0</x:v>
      </x:c>
      <x:c r="M260" s="28" t="n">
        <x:f>SUMIFS('Categorias'!$F$4:$F$1347,'Categorias'!$E$4:$E$1347,B260,'Categorias'!$A$4:$A$1347,M$3)</x:f>
        <x:v>0</x:v>
      </x:c>
      <x:c r="N260" s="47" t="n">
        <x:f>SUMIFS('Categorias'!$F$4:$F$1347,'Categorias'!$E$4:$E$1347,B260,'Categorias'!$A$4:$A$1347,N$3)</x:f>
        <x:v>0</x:v>
      </x:c>
    </x:row>
    <x:row r="261">
      <x:c r="A261" s="39" t="n">
        <x:f>RANK.EQ(C261,$C$4:$C$273,0)</x:f>
        <x:v>247</x:v>
      </x:c>
      <x:c r="B261" s="40" t="str">
        <x:v>noob0102</x:v>
      </x:c>
      <x:c r="C261" s="28" t="n">
        <x:f>SUMIF('Categorias'!$E$4:$E$1347,B261,'Categorias'!$F$4:$F$1347)</x:f>
        <x:v>0</x:v>
      </x:c>
      <x:c r="D261" s="28" t="n">
        <x:f>SUMIFS('Categorias'!$F$4:$F$1347,'Categorias'!$E$4:$E$1347,B261,'Categorias'!$A$4:$A$1347,D$3)</x:f>
        <x:v>0</x:v>
      </x:c>
      <x:c r="E261" s="28" t="n">
        <x:f>SUMIFS('Categorias'!$F$4:$F$1347,'Categorias'!$E$4:$E$1347,B261,'Categorias'!$A$4:$A$1347,E$3)</x:f>
        <x:v>0</x:v>
      </x:c>
      <x:c r="F261" s="28" t="n">
        <x:f>SUMIFS('Categorias'!$F$4:$F$1347,'Categorias'!$E$4:$E$1347,B261,'Categorias'!$A$4:$A$1347,F$3)</x:f>
        <x:v>0</x:v>
      </x:c>
      <x:c r="G261" s="28" t="n">
        <x:f>SUMIFS('Categorias'!$F$4:$F$1347,'Categorias'!$E$4:$E$1347,B261,'Categorias'!$A$4:$A$1347,G$3)</x:f>
        <x:v>0</x:v>
      </x:c>
      <x:c r="H261" s="28" t="n">
        <x:f>SUMIFS('Categorias'!$F$4:$F$1347,'Categorias'!$E$4:$E$1347,B261,'Categorias'!$A$4:$A$1347,H$3)</x:f>
        <x:v>0</x:v>
      </x:c>
      <x:c r="I261" s="28" t="n">
        <x:f>SUMIFS('Categorias'!$F$4:$F$1347,'Categorias'!$E$4:$E$1347,B261,'Categorias'!$A$4:$A$1347,I$3)</x:f>
        <x:v>0</x:v>
      </x:c>
      <x:c r="J261" s="28" t="n">
        <x:f>SUMIFS('Categorias'!$F$4:$F$1347,'Categorias'!$E$4:$E$1347,B261,'Categorias'!$A$4:$A$1347,J$3)</x:f>
        <x:v>0</x:v>
      </x:c>
      <x:c r="K261" s="28" t="n">
        <x:f>SUMIFS('Categorias'!$F$4:$F$1347,'Categorias'!$E$4:$E$1347,B261,'Categorias'!$A$4:$A$1347,K$3)</x:f>
        <x:v>0</x:v>
      </x:c>
      <x:c r="L261" s="28" t="n">
        <x:f>SUMIFS('Categorias'!$F$4:$F$1347,'Categorias'!$E$4:$E$1347,B261,'Categorias'!$A$4:$A$1347,L$3)</x:f>
        <x:v>0</x:v>
      </x:c>
      <x:c r="M261" s="28" t="n">
        <x:f>SUMIFS('Categorias'!$F$4:$F$1347,'Categorias'!$E$4:$E$1347,B261,'Categorias'!$A$4:$A$1347,M$3)</x:f>
        <x:v>0</x:v>
      </x:c>
      <x:c r="N261" s="47" t="n">
        <x:f>SUMIFS('Categorias'!$F$4:$F$1347,'Categorias'!$E$4:$E$1347,B261,'Categorias'!$A$4:$A$1347,N$3)</x:f>
        <x:v>0</x:v>
      </x:c>
    </x:row>
    <x:row r="262">
      <x:c r="A262" s="39" t="n">
        <x:f>RANK.EQ(C262,$C$4:$C$273,0)</x:f>
        <x:v>247</x:v>
      </x:c>
      <x:c r="B262" s="40" t="str">
        <x:v>NOTAGBusiness</x:v>
      </x:c>
      <x:c r="C262" s="28" t="n">
        <x:f>SUMIF('Categorias'!$E$4:$E$1347,B262,'Categorias'!$F$4:$F$1347)</x:f>
        <x:v>0</x:v>
      </x:c>
      <x:c r="D262" s="28" t="n">
        <x:f>SUMIFS('Categorias'!$F$4:$F$1347,'Categorias'!$E$4:$E$1347,B262,'Categorias'!$A$4:$A$1347,D$3)</x:f>
        <x:v>0</x:v>
      </x:c>
      <x:c r="E262" s="28" t="n">
        <x:f>SUMIFS('Categorias'!$F$4:$F$1347,'Categorias'!$E$4:$E$1347,B262,'Categorias'!$A$4:$A$1347,E$3)</x:f>
        <x:v>0</x:v>
      </x:c>
      <x:c r="F262" s="28" t="n">
        <x:f>SUMIFS('Categorias'!$F$4:$F$1347,'Categorias'!$E$4:$E$1347,B262,'Categorias'!$A$4:$A$1347,F$3)</x:f>
        <x:v>0</x:v>
      </x:c>
      <x:c r="G262" s="28" t="n">
        <x:f>SUMIFS('Categorias'!$F$4:$F$1347,'Categorias'!$E$4:$E$1347,B262,'Categorias'!$A$4:$A$1347,G$3)</x:f>
        <x:v>0</x:v>
      </x:c>
      <x:c r="H262" s="28" t="n">
        <x:f>SUMIFS('Categorias'!$F$4:$F$1347,'Categorias'!$E$4:$E$1347,B262,'Categorias'!$A$4:$A$1347,H$3)</x:f>
        <x:v>0</x:v>
      </x:c>
      <x:c r="I262" s="28" t="n">
        <x:f>SUMIFS('Categorias'!$F$4:$F$1347,'Categorias'!$E$4:$E$1347,B262,'Categorias'!$A$4:$A$1347,I$3)</x:f>
        <x:v>0</x:v>
      </x:c>
      <x:c r="J262" s="28" t="n">
        <x:f>SUMIFS('Categorias'!$F$4:$F$1347,'Categorias'!$E$4:$E$1347,B262,'Categorias'!$A$4:$A$1347,J$3)</x:f>
        <x:v>0</x:v>
      </x:c>
      <x:c r="K262" s="28" t="n">
        <x:f>SUMIFS('Categorias'!$F$4:$F$1347,'Categorias'!$E$4:$E$1347,B262,'Categorias'!$A$4:$A$1347,K$3)</x:f>
        <x:v>0</x:v>
      </x:c>
      <x:c r="L262" s="28" t="n">
        <x:f>SUMIFS('Categorias'!$F$4:$F$1347,'Categorias'!$E$4:$E$1347,B262,'Categorias'!$A$4:$A$1347,L$3)</x:f>
        <x:v>0</x:v>
      </x:c>
      <x:c r="M262" s="28" t="n">
        <x:f>SUMIFS('Categorias'!$F$4:$F$1347,'Categorias'!$E$4:$E$1347,B262,'Categorias'!$A$4:$A$1347,M$3)</x:f>
        <x:v>0</x:v>
      </x:c>
      <x:c r="N262" s="47" t="n">
        <x:f>SUMIFS('Categorias'!$F$4:$F$1347,'Categorias'!$E$4:$E$1347,B262,'Categorias'!$A$4:$A$1347,N$3)</x:f>
        <x:v>0</x:v>
      </x:c>
    </x:row>
    <x:row r="263">
      <x:c r="A263" s="39" t="n">
        <x:f>RANK.EQ(C263,$C$4:$C$273,0)</x:f>
        <x:v>247</x:v>
      </x:c>
      <x:c r="B263" s="40" t="str">
        <x:v>OReiDoGado</x:v>
      </x:c>
      <x:c r="C263" s="28" t="n">
        <x:f>SUMIF('Categorias'!$E$4:$E$1347,B263,'Categorias'!$F$4:$F$1347)</x:f>
        <x:v>0</x:v>
      </x:c>
      <x:c r="D263" s="28" t="n">
        <x:f>SUMIFS('Categorias'!$F$4:$F$1347,'Categorias'!$E$4:$E$1347,B263,'Categorias'!$A$4:$A$1347,D$3)</x:f>
        <x:v>0</x:v>
      </x:c>
      <x:c r="E263" s="28" t="n">
        <x:f>SUMIFS('Categorias'!$F$4:$F$1347,'Categorias'!$E$4:$E$1347,B263,'Categorias'!$A$4:$A$1347,E$3)</x:f>
        <x:v>0</x:v>
      </x:c>
      <x:c r="F263" s="28" t="n">
        <x:f>SUMIFS('Categorias'!$F$4:$F$1347,'Categorias'!$E$4:$E$1347,B263,'Categorias'!$A$4:$A$1347,F$3)</x:f>
        <x:v>0</x:v>
      </x:c>
      <x:c r="G263" s="28" t="n">
        <x:f>SUMIFS('Categorias'!$F$4:$F$1347,'Categorias'!$E$4:$E$1347,B263,'Categorias'!$A$4:$A$1347,G$3)</x:f>
        <x:v>0</x:v>
      </x:c>
      <x:c r="H263" s="28" t="n">
        <x:f>SUMIFS('Categorias'!$F$4:$F$1347,'Categorias'!$E$4:$E$1347,B263,'Categorias'!$A$4:$A$1347,H$3)</x:f>
        <x:v>0</x:v>
      </x:c>
      <x:c r="I263" s="28" t="n">
        <x:f>SUMIFS('Categorias'!$F$4:$F$1347,'Categorias'!$E$4:$E$1347,B263,'Categorias'!$A$4:$A$1347,I$3)</x:f>
        <x:v>0</x:v>
      </x:c>
      <x:c r="J263" s="28" t="n">
        <x:f>SUMIFS('Categorias'!$F$4:$F$1347,'Categorias'!$E$4:$E$1347,B263,'Categorias'!$A$4:$A$1347,J$3)</x:f>
        <x:v>0</x:v>
      </x:c>
      <x:c r="K263" s="28" t="n">
        <x:f>SUMIFS('Categorias'!$F$4:$F$1347,'Categorias'!$E$4:$E$1347,B263,'Categorias'!$A$4:$A$1347,K$3)</x:f>
        <x:v>0</x:v>
      </x:c>
      <x:c r="L263" s="28" t="n">
        <x:f>SUMIFS('Categorias'!$F$4:$F$1347,'Categorias'!$E$4:$E$1347,B263,'Categorias'!$A$4:$A$1347,L$3)</x:f>
        <x:v>0</x:v>
      </x:c>
      <x:c r="M263" s="28" t="n">
        <x:f>SUMIFS('Categorias'!$F$4:$F$1347,'Categorias'!$E$4:$E$1347,B263,'Categorias'!$A$4:$A$1347,M$3)</x:f>
        <x:v>0</x:v>
      </x:c>
      <x:c r="N263" s="47" t="n">
        <x:f>SUMIFS('Categorias'!$F$4:$F$1347,'Categorias'!$E$4:$E$1347,B263,'Categorias'!$A$4:$A$1347,N$3)</x:f>
        <x:v>0</x:v>
      </x:c>
    </x:row>
    <x:row r="264">
      <x:c r="A264" s="39" t="n">
        <x:f>RANK.EQ(C264,$C$4:$C$273,0)</x:f>
        <x:v>247</x:v>
      </x:c>
      <x:c r="B264" s="40" t="str">
        <x:v>ORKuT</x:v>
      </x:c>
      <x:c r="C264" s="28" t="n">
        <x:f>SUMIF('Categorias'!$E$4:$E$1347,B264,'Categorias'!$F$4:$F$1347)</x:f>
        <x:v>0</x:v>
      </x:c>
      <x:c r="D264" s="28" t="n">
        <x:f>SUMIFS('Categorias'!$F$4:$F$1347,'Categorias'!$E$4:$E$1347,B264,'Categorias'!$A$4:$A$1347,D$3)</x:f>
        <x:v>0</x:v>
      </x:c>
      <x:c r="E264" s="28" t="n">
        <x:f>SUMIFS('Categorias'!$F$4:$F$1347,'Categorias'!$E$4:$E$1347,B264,'Categorias'!$A$4:$A$1347,E$3)</x:f>
        <x:v>0</x:v>
      </x:c>
      <x:c r="F264" s="28" t="n">
        <x:f>SUMIFS('Categorias'!$F$4:$F$1347,'Categorias'!$E$4:$E$1347,B264,'Categorias'!$A$4:$A$1347,F$3)</x:f>
        <x:v>0</x:v>
      </x:c>
      <x:c r="G264" s="28" t="n">
        <x:f>SUMIFS('Categorias'!$F$4:$F$1347,'Categorias'!$E$4:$E$1347,B264,'Categorias'!$A$4:$A$1347,G$3)</x:f>
        <x:v>0</x:v>
      </x:c>
      <x:c r="H264" s="28" t="n">
        <x:f>SUMIFS('Categorias'!$F$4:$F$1347,'Categorias'!$E$4:$E$1347,B264,'Categorias'!$A$4:$A$1347,H$3)</x:f>
        <x:v>0</x:v>
      </x:c>
      <x:c r="I264" s="28" t="n">
        <x:f>SUMIFS('Categorias'!$F$4:$F$1347,'Categorias'!$E$4:$E$1347,B264,'Categorias'!$A$4:$A$1347,I$3)</x:f>
        <x:v>0</x:v>
      </x:c>
      <x:c r="J264" s="28" t="n">
        <x:f>SUMIFS('Categorias'!$F$4:$F$1347,'Categorias'!$E$4:$E$1347,B264,'Categorias'!$A$4:$A$1347,J$3)</x:f>
        <x:v>0</x:v>
      </x:c>
      <x:c r="K264" s="28" t="n">
        <x:f>SUMIFS('Categorias'!$F$4:$F$1347,'Categorias'!$E$4:$E$1347,B264,'Categorias'!$A$4:$A$1347,K$3)</x:f>
        <x:v>0</x:v>
      </x:c>
      <x:c r="L264" s="28" t="n">
        <x:f>SUMIFS('Categorias'!$F$4:$F$1347,'Categorias'!$E$4:$E$1347,B264,'Categorias'!$A$4:$A$1347,L$3)</x:f>
        <x:v>0</x:v>
      </x:c>
      <x:c r="M264" s="28" t="n">
        <x:f>SUMIFS('Categorias'!$F$4:$F$1347,'Categorias'!$E$4:$E$1347,B264,'Categorias'!$A$4:$A$1347,M$3)</x:f>
        <x:v>0</x:v>
      </x:c>
      <x:c r="N264" s="47" t="n">
        <x:f>SUMIFS('Categorias'!$F$4:$F$1347,'Categorias'!$E$4:$E$1347,B264,'Categorias'!$A$4:$A$1347,N$3)</x:f>
        <x:v>0</x:v>
      </x:c>
    </x:row>
    <x:row r="265">
      <x:c r="A265" s="39" t="n">
        <x:f>RANK.EQ(C265,$C$4:$C$273,0)</x:f>
        <x:v>247</x:v>
      </x:c>
      <x:c r="B265" s="40" t="str">
        <x:v>Phomi</x:v>
      </x:c>
      <x:c r="C265" s="28" t="n">
        <x:f>SUMIF('Categorias'!$E$4:$E$1347,B265,'Categorias'!$F$4:$F$1347)</x:f>
        <x:v>0</x:v>
      </x:c>
      <x:c r="D265" s="28" t="n">
        <x:f>SUMIFS('Categorias'!$F$4:$F$1347,'Categorias'!$E$4:$E$1347,B265,'Categorias'!$A$4:$A$1347,D$3)</x:f>
        <x:v>0</x:v>
      </x:c>
      <x:c r="E265" s="28" t="n">
        <x:f>SUMIFS('Categorias'!$F$4:$F$1347,'Categorias'!$E$4:$E$1347,B265,'Categorias'!$A$4:$A$1347,E$3)</x:f>
        <x:v>0</x:v>
      </x:c>
      <x:c r="F265" s="28" t="n">
        <x:f>SUMIFS('Categorias'!$F$4:$F$1347,'Categorias'!$E$4:$E$1347,B265,'Categorias'!$A$4:$A$1347,F$3)</x:f>
        <x:v>0</x:v>
      </x:c>
      <x:c r="G265" s="28" t="n">
        <x:f>SUMIFS('Categorias'!$F$4:$F$1347,'Categorias'!$E$4:$E$1347,B265,'Categorias'!$A$4:$A$1347,G$3)</x:f>
        <x:v>0</x:v>
      </x:c>
      <x:c r="H265" s="28" t="n">
        <x:f>SUMIFS('Categorias'!$F$4:$F$1347,'Categorias'!$E$4:$E$1347,B265,'Categorias'!$A$4:$A$1347,H$3)</x:f>
        <x:v>0</x:v>
      </x:c>
      <x:c r="I265" s="28" t="n">
        <x:f>SUMIFS('Categorias'!$F$4:$F$1347,'Categorias'!$E$4:$E$1347,B265,'Categorias'!$A$4:$A$1347,I$3)</x:f>
        <x:v>0</x:v>
      </x:c>
      <x:c r="J265" s="28" t="n">
        <x:f>SUMIFS('Categorias'!$F$4:$F$1347,'Categorias'!$E$4:$E$1347,B265,'Categorias'!$A$4:$A$1347,J$3)</x:f>
        <x:v>0</x:v>
      </x:c>
      <x:c r="K265" s="28" t="n">
        <x:f>SUMIFS('Categorias'!$F$4:$F$1347,'Categorias'!$E$4:$E$1347,B265,'Categorias'!$A$4:$A$1347,K$3)</x:f>
        <x:v>0</x:v>
      </x:c>
      <x:c r="L265" s="28" t="n">
        <x:f>SUMIFS('Categorias'!$F$4:$F$1347,'Categorias'!$E$4:$E$1347,B265,'Categorias'!$A$4:$A$1347,L$3)</x:f>
        <x:v>0</x:v>
      </x:c>
      <x:c r="M265" s="28" t="n">
        <x:f>SUMIFS('Categorias'!$F$4:$F$1347,'Categorias'!$E$4:$E$1347,B265,'Categorias'!$A$4:$A$1347,M$3)</x:f>
        <x:v>0</x:v>
      </x:c>
      <x:c r="N265" s="47" t="n">
        <x:f>SUMIFS('Categorias'!$F$4:$F$1347,'Categorias'!$E$4:$E$1347,B265,'Categorias'!$A$4:$A$1347,N$3)</x:f>
        <x:v>0</x:v>
      </x:c>
    </x:row>
    <x:row r="266">
      <x:c r="A266" s="39" t="n">
        <x:f>RANK.EQ(C266,$C$4:$C$273,0)</x:f>
        <x:v>247</x:v>
      </x:c>
      <x:c r="B266" s="40" t="str">
        <x:v>ReiDsn</x:v>
      </x:c>
      <x:c r="C266" s="28" t="n">
        <x:f>SUMIF('Categorias'!$E$4:$E$1347,B266,'Categorias'!$F$4:$F$1347)</x:f>
        <x:v>0</x:v>
      </x:c>
      <x:c r="D266" s="28" t="n">
        <x:f>SUMIFS('Categorias'!$F$4:$F$1347,'Categorias'!$E$4:$E$1347,B266,'Categorias'!$A$4:$A$1347,D$3)</x:f>
        <x:v>0</x:v>
      </x:c>
      <x:c r="E266" s="28" t="n">
        <x:f>SUMIFS('Categorias'!$F$4:$F$1347,'Categorias'!$E$4:$E$1347,B266,'Categorias'!$A$4:$A$1347,E$3)</x:f>
        <x:v>0</x:v>
      </x:c>
      <x:c r="F266" s="28" t="n">
        <x:f>SUMIFS('Categorias'!$F$4:$F$1347,'Categorias'!$E$4:$E$1347,B266,'Categorias'!$A$4:$A$1347,F$3)</x:f>
        <x:v>0</x:v>
      </x:c>
      <x:c r="G266" s="28" t="n">
        <x:f>SUMIFS('Categorias'!$F$4:$F$1347,'Categorias'!$E$4:$E$1347,B266,'Categorias'!$A$4:$A$1347,G$3)</x:f>
        <x:v>0</x:v>
      </x:c>
      <x:c r="H266" s="28" t="n">
        <x:f>SUMIFS('Categorias'!$F$4:$F$1347,'Categorias'!$E$4:$E$1347,B266,'Categorias'!$A$4:$A$1347,H$3)</x:f>
        <x:v>0</x:v>
      </x:c>
      <x:c r="I266" s="28" t="n">
        <x:f>SUMIFS('Categorias'!$F$4:$F$1347,'Categorias'!$E$4:$E$1347,B266,'Categorias'!$A$4:$A$1347,I$3)</x:f>
        <x:v>0</x:v>
      </x:c>
      <x:c r="J266" s="28" t="n">
        <x:f>SUMIFS('Categorias'!$F$4:$F$1347,'Categorias'!$E$4:$E$1347,B266,'Categorias'!$A$4:$A$1347,J$3)</x:f>
        <x:v>0</x:v>
      </x:c>
      <x:c r="K266" s="28" t="n">
        <x:f>SUMIFS('Categorias'!$F$4:$F$1347,'Categorias'!$E$4:$E$1347,B266,'Categorias'!$A$4:$A$1347,K$3)</x:f>
        <x:v>0</x:v>
      </x:c>
      <x:c r="L266" s="28" t="n">
        <x:f>SUMIFS('Categorias'!$F$4:$F$1347,'Categorias'!$E$4:$E$1347,B266,'Categorias'!$A$4:$A$1347,L$3)</x:f>
        <x:v>0</x:v>
      </x:c>
      <x:c r="M266" s="28" t="n">
        <x:f>SUMIFS('Categorias'!$F$4:$F$1347,'Categorias'!$E$4:$E$1347,B266,'Categorias'!$A$4:$A$1347,M$3)</x:f>
        <x:v>0</x:v>
      </x:c>
      <x:c r="N266" s="47" t="n">
        <x:f>SUMIFS('Categorias'!$F$4:$F$1347,'Categorias'!$E$4:$E$1347,B266,'Categorias'!$A$4:$A$1347,N$3)</x:f>
        <x:v>0</x:v>
      </x:c>
    </x:row>
    <x:row r="267">
      <x:c r="A267" s="39" t="n">
        <x:f>RANK.EQ(C267,$C$4:$C$273,0)</x:f>
        <x:v>247</x:v>
      </x:c>
      <x:c r="B267" s="40" t="str">
        <x:v>ShobbyYeti</x:v>
      </x:c>
      <x:c r="C267" s="28" t="n">
        <x:f>SUMIF('Categorias'!$E$4:$E$1347,B267,'Categorias'!$F$4:$F$1347)</x:f>
        <x:v>0</x:v>
      </x:c>
      <x:c r="D267" s="28" t="n">
        <x:f>SUMIFS('Categorias'!$F$4:$F$1347,'Categorias'!$E$4:$E$1347,B267,'Categorias'!$A$4:$A$1347,D$3)</x:f>
        <x:v>0</x:v>
      </x:c>
      <x:c r="E267" s="28" t="n">
        <x:f>SUMIFS('Categorias'!$F$4:$F$1347,'Categorias'!$E$4:$E$1347,B267,'Categorias'!$A$4:$A$1347,E$3)</x:f>
        <x:v>0</x:v>
      </x:c>
      <x:c r="F267" s="28" t="n">
        <x:f>SUMIFS('Categorias'!$F$4:$F$1347,'Categorias'!$E$4:$E$1347,B267,'Categorias'!$A$4:$A$1347,F$3)</x:f>
        <x:v>0</x:v>
      </x:c>
      <x:c r="G267" s="28" t="n">
        <x:f>SUMIFS('Categorias'!$F$4:$F$1347,'Categorias'!$E$4:$E$1347,B267,'Categorias'!$A$4:$A$1347,G$3)</x:f>
        <x:v>0</x:v>
      </x:c>
      <x:c r="H267" s="28" t="n">
        <x:f>SUMIFS('Categorias'!$F$4:$F$1347,'Categorias'!$E$4:$E$1347,B267,'Categorias'!$A$4:$A$1347,H$3)</x:f>
        <x:v>0</x:v>
      </x:c>
      <x:c r="I267" s="28" t="n">
        <x:f>SUMIFS('Categorias'!$F$4:$F$1347,'Categorias'!$E$4:$E$1347,B267,'Categorias'!$A$4:$A$1347,I$3)</x:f>
        <x:v>0</x:v>
      </x:c>
      <x:c r="J267" s="28" t="n">
        <x:f>SUMIFS('Categorias'!$F$4:$F$1347,'Categorias'!$E$4:$E$1347,B267,'Categorias'!$A$4:$A$1347,J$3)</x:f>
        <x:v>0</x:v>
      </x:c>
      <x:c r="K267" s="28" t="n">
        <x:f>SUMIFS('Categorias'!$F$4:$F$1347,'Categorias'!$E$4:$E$1347,B267,'Categorias'!$A$4:$A$1347,K$3)</x:f>
        <x:v>0</x:v>
      </x:c>
      <x:c r="L267" s="28" t="n">
        <x:f>SUMIFS('Categorias'!$F$4:$F$1347,'Categorias'!$E$4:$E$1347,B267,'Categorias'!$A$4:$A$1347,L$3)</x:f>
        <x:v>0</x:v>
      </x:c>
      <x:c r="M267" s="28" t="n">
        <x:f>SUMIFS('Categorias'!$F$4:$F$1347,'Categorias'!$E$4:$E$1347,B267,'Categorias'!$A$4:$A$1347,M$3)</x:f>
        <x:v>0</x:v>
      </x:c>
      <x:c r="N267" s="47" t="n">
        <x:f>SUMIFS('Categorias'!$F$4:$F$1347,'Categorias'!$E$4:$E$1347,B267,'Categorias'!$A$4:$A$1347,N$3)</x:f>
        <x:v>0</x:v>
      </x:c>
    </x:row>
    <x:row r="268">
      <x:c r="A268" s="39" t="n">
        <x:f>RANK.EQ(C268,$C$4:$C$273,0)</x:f>
        <x:v>247</x:v>
      </x:c>
      <x:c r="B268" s="40" t="str">
        <x:v>St4ayawayfromme</x:v>
      </x:c>
      <x:c r="C268" s="28" t="n">
        <x:f>SUMIF('Categorias'!$E$4:$E$1347,B268,'Categorias'!$F$4:$F$1347)</x:f>
        <x:v>0</x:v>
      </x:c>
      <x:c r="D268" s="28" t="n">
        <x:f>SUMIFS('Categorias'!$F$4:$F$1347,'Categorias'!$E$4:$E$1347,B268,'Categorias'!$A$4:$A$1347,D$3)</x:f>
        <x:v>0</x:v>
      </x:c>
      <x:c r="E268" s="28" t="n">
        <x:f>SUMIFS('Categorias'!$F$4:$F$1347,'Categorias'!$E$4:$E$1347,B268,'Categorias'!$A$4:$A$1347,E$3)</x:f>
        <x:v>0</x:v>
      </x:c>
      <x:c r="F268" s="28" t="n">
        <x:f>SUMIFS('Categorias'!$F$4:$F$1347,'Categorias'!$E$4:$E$1347,B268,'Categorias'!$A$4:$A$1347,F$3)</x:f>
        <x:v>0</x:v>
      </x:c>
      <x:c r="G268" s="28" t="n">
        <x:f>SUMIFS('Categorias'!$F$4:$F$1347,'Categorias'!$E$4:$E$1347,B268,'Categorias'!$A$4:$A$1347,G$3)</x:f>
        <x:v>0</x:v>
      </x:c>
      <x:c r="H268" s="28" t="n">
        <x:f>SUMIFS('Categorias'!$F$4:$F$1347,'Categorias'!$E$4:$E$1347,B268,'Categorias'!$A$4:$A$1347,H$3)</x:f>
        <x:v>0</x:v>
      </x:c>
      <x:c r="I268" s="28" t="n">
        <x:f>SUMIFS('Categorias'!$F$4:$F$1347,'Categorias'!$E$4:$E$1347,B268,'Categorias'!$A$4:$A$1347,I$3)</x:f>
        <x:v>0</x:v>
      </x:c>
      <x:c r="J268" s="28" t="n">
        <x:f>SUMIFS('Categorias'!$F$4:$F$1347,'Categorias'!$E$4:$E$1347,B268,'Categorias'!$A$4:$A$1347,J$3)</x:f>
        <x:v>0</x:v>
      </x:c>
      <x:c r="K268" s="28" t="n">
        <x:f>SUMIFS('Categorias'!$F$4:$F$1347,'Categorias'!$E$4:$E$1347,B268,'Categorias'!$A$4:$A$1347,K$3)</x:f>
        <x:v>0</x:v>
      </x:c>
      <x:c r="L268" s="28" t="n">
        <x:f>SUMIFS('Categorias'!$F$4:$F$1347,'Categorias'!$E$4:$E$1347,B268,'Categorias'!$A$4:$A$1347,L$3)</x:f>
        <x:v>0</x:v>
      </x:c>
      <x:c r="M268" s="28" t="n">
        <x:f>SUMIFS('Categorias'!$F$4:$F$1347,'Categorias'!$E$4:$E$1347,B268,'Categorias'!$A$4:$A$1347,M$3)</x:f>
        <x:v>0</x:v>
      </x:c>
      <x:c r="N268" s="47" t="n">
        <x:f>SUMIFS('Categorias'!$F$4:$F$1347,'Categorias'!$E$4:$E$1347,B268,'Categorias'!$A$4:$A$1347,N$3)</x:f>
        <x:v>0</x:v>
      </x:c>
    </x:row>
    <x:row r="269">
      <x:c r="A269" s="39" t="n">
        <x:f>RANK.EQ(C269,$C$4:$C$273,0)</x:f>
        <x:v>247</x:v>
      </x:c>
      <x:c r="B269" s="40" t="str">
        <x:v>SucoDeFruta</x:v>
      </x:c>
      <x:c r="C269" s="28" t="n">
        <x:f>SUMIF('Categorias'!$E$4:$E$1347,B269,'Categorias'!$F$4:$F$1347)</x:f>
        <x:v>0</x:v>
      </x:c>
      <x:c r="D269" s="28" t="n">
        <x:f>SUMIFS('Categorias'!$F$4:$F$1347,'Categorias'!$E$4:$E$1347,B269,'Categorias'!$A$4:$A$1347,D$3)</x:f>
        <x:v>0</x:v>
      </x:c>
      <x:c r="E269" s="28" t="n">
        <x:f>SUMIFS('Categorias'!$F$4:$F$1347,'Categorias'!$E$4:$E$1347,B269,'Categorias'!$A$4:$A$1347,E$3)</x:f>
        <x:v>0</x:v>
      </x:c>
      <x:c r="F269" s="28" t="n">
        <x:f>SUMIFS('Categorias'!$F$4:$F$1347,'Categorias'!$E$4:$E$1347,B269,'Categorias'!$A$4:$A$1347,F$3)</x:f>
        <x:v>0</x:v>
      </x:c>
      <x:c r="G269" s="28" t="n">
        <x:f>SUMIFS('Categorias'!$F$4:$F$1347,'Categorias'!$E$4:$E$1347,B269,'Categorias'!$A$4:$A$1347,G$3)</x:f>
        <x:v>0</x:v>
      </x:c>
      <x:c r="H269" s="28" t="n">
        <x:f>SUMIFS('Categorias'!$F$4:$F$1347,'Categorias'!$E$4:$E$1347,B269,'Categorias'!$A$4:$A$1347,H$3)</x:f>
        <x:v>0</x:v>
      </x:c>
      <x:c r="I269" s="28" t="n">
        <x:f>SUMIFS('Categorias'!$F$4:$F$1347,'Categorias'!$E$4:$E$1347,B269,'Categorias'!$A$4:$A$1347,I$3)</x:f>
        <x:v>0</x:v>
      </x:c>
      <x:c r="J269" s="28" t="n">
        <x:f>SUMIFS('Categorias'!$F$4:$F$1347,'Categorias'!$E$4:$E$1347,B269,'Categorias'!$A$4:$A$1347,J$3)</x:f>
        <x:v>0</x:v>
      </x:c>
      <x:c r="K269" s="28" t="n">
        <x:f>SUMIFS('Categorias'!$F$4:$F$1347,'Categorias'!$E$4:$E$1347,B269,'Categorias'!$A$4:$A$1347,K$3)</x:f>
        <x:v>0</x:v>
      </x:c>
      <x:c r="L269" s="28" t="n">
        <x:f>SUMIFS('Categorias'!$F$4:$F$1347,'Categorias'!$E$4:$E$1347,B269,'Categorias'!$A$4:$A$1347,L$3)</x:f>
        <x:v>0</x:v>
      </x:c>
      <x:c r="M269" s="28" t="n">
        <x:f>SUMIFS('Categorias'!$F$4:$F$1347,'Categorias'!$E$4:$E$1347,B269,'Categorias'!$A$4:$A$1347,M$3)</x:f>
        <x:v>0</x:v>
      </x:c>
      <x:c r="N269" s="47" t="n">
        <x:f>SUMIFS('Categorias'!$F$4:$F$1347,'Categorias'!$E$4:$E$1347,B269,'Categorias'!$A$4:$A$1347,N$3)</x:f>
        <x:v>0</x:v>
      </x:c>
    </x:row>
    <x:row r="270">
      <x:c r="A270" s="39" t="n">
        <x:f>RANK.EQ(C270,$C$4:$C$273,0)</x:f>
        <x:v>247</x:v>
      </x:c>
      <x:c r="B270" s="40" t="str">
        <x:v>TheOneSinx</x:v>
      </x:c>
      <x:c r="C270" s="28" t="n">
        <x:f>SUMIF('Categorias'!$E$4:$E$1347,B270,'Categorias'!$F$4:$F$1347)</x:f>
        <x:v>0</x:v>
      </x:c>
      <x:c r="D270" s="28" t="n">
        <x:f>SUMIFS('Categorias'!$F$4:$F$1347,'Categorias'!$E$4:$E$1347,B270,'Categorias'!$A$4:$A$1347,D$3)</x:f>
        <x:v>0</x:v>
      </x:c>
      <x:c r="E270" s="28" t="n">
        <x:f>SUMIFS('Categorias'!$F$4:$F$1347,'Categorias'!$E$4:$E$1347,B270,'Categorias'!$A$4:$A$1347,E$3)</x:f>
        <x:v>0</x:v>
      </x:c>
      <x:c r="F270" s="28" t="n">
        <x:f>SUMIFS('Categorias'!$F$4:$F$1347,'Categorias'!$E$4:$E$1347,B270,'Categorias'!$A$4:$A$1347,F$3)</x:f>
        <x:v>0</x:v>
      </x:c>
      <x:c r="G270" s="28" t="n">
        <x:f>SUMIFS('Categorias'!$F$4:$F$1347,'Categorias'!$E$4:$E$1347,B270,'Categorias'!$A$4:$A$1347,G$3)</x:f>
        <x:v>0</x:v>
      </x:c>
      <x:c r="H270" s="28" t="n">
        <x:f>SUMIFS('Categorias'!$F$4:$F$1347,'Categorias'!$E$4:$E$1347,B270,'Categorias'!$A$4:$A$1347,H$3)</x:f>
        <x:v>0</x:v>
      </x:c>
      <x:c r="I270" s="28" t="n">
        <x:f>SUMIFS('Categorias'!$F$4:$F$1347,'Categorias'!$E$4:$E$1347,B270,'Categorias'!$A$4:$A$1347,I$3)</x:f>
        <x:v>0</x:v>
      </x:c>
      <x:c r="J270" s="28" t="n">
        <x:f>SUMIFS('Categorias'!$F$4:$F$1347,'Categorias'!$E$4:$E$1347,B270,'Categorias'!$A$4:$A$1347,J$3)</x:f>
        <x:v>0</x:v>
      </x:c>
      <x:c r="K270" s="28" t="n">
        <x:f>SUMIFS('Categorias'!$F$4:$F$1347,'Categorias'!$E$4:$E$1347,B270,'Categorias'!$A$4:$A$1347,K$3)</x:f>
        <x:v>0</x:v>
      </x:c>
      <x:c r="L270" s="28" t="n">
        <x:f>SUMIFS('Categorias'!$F$4:$F$1347,'Categorias'!$E$4:$E$1347,B270,'Categorias'!$A$4:$A$1347,L$3)</x:f>
        <x:v>0</x:v>
      </x:c>
      <x:c r="M270" s="28" t="n">
        <x:f>SUMIFS('Categorias'!$F$4:$F$1347,'Categorias'!$E$4:$E$1347,B270,'Categorias'!$A$4:$A$1347,M$3)</x:f>
        <x:v>0</x:v>
      </x:c>
      <x:c r="N270" s="47" t="n">
        <x:f>SUMIFS('Categorias'!$F$4:$F$1347,'Categorias'!$E$4:$E$1347,B270,'Categorias'!$A$4:$A$1347,N$3)</x:f>
        <x:v>0</x:v>
      </x:c>
    </x:row>
    <x:row r="271">
      <x:c r="A271" s="39" t="n">
        <x:f>RANK.EQ(C271,$C$4:$C$273,0)</x:f>
        <x:v>247</x:v>
      </x:c>
      <x:c r="B271" s="40" t="str">
        <x:v>tistaoo</x:v>
      </x:c>
      <x:c r="C271" s="28" t="n">
        <x:f>SUMIF('Categorias'!$E$4:$E$1347,B271,'Categorias'!$F$4:$F$1347)</x:f>
        <x:v>0</x:v>
      </x:c>
      <x:c r="D271" s="28" t="n">
        <x:f>SUMIFS('Categorias'!$F$4:$F$1347,'Categorias'!$E$4:$E$1347,B271,'Categorias'!$A$4:$A$1347,D$3)</x:f>
        <x:v>0</x:v>
      </x:c>
      <x:c r="E271" s="28" t="n">
        <x:f>SUMIFS('Categorias'!$F$4:$F$1347,'Categorias'!$E$4:$E$1347,B271,'Categorias'!$A$4:$A$1347,E$3)</x:f>
        <x:v>0</x:v>
      </x:c>
      <x:c r="F271" s="28" t="n">
        <x:f>SUMIFS('Categorias'!$F$4:$F$1347,'Categorias'!$E$4:$E$1347,B271,'Categorias'!$A$4:$A$1347,F$3)</x:f>
        <x:v>0</x:v>
      </x:c>
      <x:c r="G271" s="28" t="n">
        <x:f>SUMIFS('Categorias'!$F$4:$F$1347,'Categorias'!$E$4:$E$1347,B271,'Categorias'!$A$4:$A$1347,G$3)</x:f>
        <x:v>0</x:v>
      </x:c>
      <x:c r="H271" s="28" t="n">
        <x:f>SUMIFS('Categorias'!$F$4:$F$1347,'Categorias'!$E$4:$E$1347,B271,'Categorias'!$A$4:$A$1347,H$3)</x:f>
        <x:v>0</x:v>
      </x:c>
      <x:c r="I271" s="28" t="n">
        <x:f>SUMIFS('Categorias'!$F$4:$F$1347,'Categorias'!$E$4:$E$1347,B271,'Categorias'!$A$4:$A$1347,I$3)</x:f>
        <x:v>0</x:v>
      </x:c>
      <x:c r="J271" s="28" t="n">
        <x:f>SUMIFS('Categorias'!$F$4:$F$1347,'Categorias'!$E$4:$E$1347,B271,'Categorias'!$A$4:$A$1347,J$3)</x:f>
        <x:v>0</x:v>
      </x:c>
      <x:c r="K271" s="28" t="n">
        <x:f>SUMIFS('Categorias'!$F$4:$F$1347,'Categorias'!$E$4:$E$1347,B271,'Categorias'!$A$4:$A$1347,K$3)</x:f>
        <x:v>0</x:v>
      </x:c>
      <x:c r="L271" s="28" t="n">
        <x:f>SUMIFS('Categorias'!$F$4:$F$1347,'Categorias'!$E$4:$E$1347,B271,'Categorias'!$A$4:$A$1347,L$3)</x:f>
        <x:v>0</x:v>
      </x:c>
      <x:c r="M271" s="28" t="n">
        <x:f>SUMIFS('Categorias'!$F$4:$F$1347,'Categorias'!$E$4:$E$1347,B271,'Categorias'!$A$4:$A$1347,M$3)</x:f>
        <x:v>0</x:v>
      </x:c>
      <x:c r="N271" s="47" t="n">
        <x:f>SUMIFS('Categorias'!$F$4:$F$1347,'Categorias'!$E$4:$E$1347,B271,'Categorias'!$A$4:$A$1347,N$3)</x:f>
        <x:v>0</x:v>
      </x:c>
    </x:row>
    <x:row r="272">
      <x:c r="A272" s="39" t="n">
        <x:f>RANK.EQ(C272,$C$4:$C$273,0)</x:f>
        <x:v>247</x:v>
      </x:c>
      <x:c r="B272" s="40" t="str">
        <x:v>UCKRAPT</x:v>
      </x:c>
      <x:c r="C272" s="28" t="n">
        <x:f>SUMIF('Categorias'!$E$4:$E$1347,B272,'Categorias'!$F$4:$F$1347)</x:f>
        <x:v>0</x:v>
      </x:c>
      <x:c r="D272" s="28" t="n">
        <x:f>SUMIFS('Categorias'!$F$4:$F$1347,'Categorias'!$E$4:$E$1347,B272,'Categorias'!$A$4:$A$1347,D$3)</x:f>
        <x:v>0</x:v>
      </x:c>
      <x:c r="E272" s="28" t="n">
        <x:f>SUMIFS('Categorias'!$F$4:$F$1347,'Categorias'!$E$4:$E$1347,B272,'Categorias'!$A$4:$A$1347,E$3)</x:f>
        <x:v>0</x:v>
      </x:c>
      <x:c r="F272" s="28" t="n">
        <x:f>SUMIFS('Categorias'!$F$4:$F$1347,'Categorias'!$E$4:$E$1347,B272,'Categorias'!$A$4:$A$1347,F$3)</x:f>
        <x:v>0</x:v>
      </x:c>
      <x:c r="G272" s="28" t="n">
        <x:f>SUMIFS('Categorias'!$F$4:$F$1347,'Categorias'!$E$4:$E$1347,B272,'Categorias'!$A$4:$A$1347,G$3)</x:f>
        <x:v>0</x:v>
      </x:c>
      <x:c r="H272" s="28" t="n">
        <x:f>SUMIFS('Categorias'!$F$4:$F$1347,'Categorias'!$E$4:$E$1347,B272,'Categorias'!$A$4:$A$1347,H$3)</x:f>
        <x:v>0</x:v>
      </x:c>
      <x:c r="I272" s="28" t="n">
        <x:f>SUMIFS('Categorias'!$F$4:$F$1347,'Categorias'!$E$4:$E$1347,B272,'Categorias'!$A$4:$A$1347,I$3)</x:f>
        <x:v>0</x:v>
      </x:c>
      <x:c r="J272" s="28" t="n">
        <x:f>SUMIFS('Categorias'!$F$4:$F$1347,'Categorias'!$E$4:$E$1347,B272,'Categorias'!$A$4:$A$1347,J$3)</x:f>
        <x:v>0</x:v>
      </x:c>
      <x:c r="K272" s="28" t="n">
        <x:f>SUMIFS('Categorias'!$F$4:$F$1347,'Categorias'!$E$4:$E$1347,B272,'Categorias'!$A$4:$A$1347,K$3)</x:f>
        <x:v>0</x:v>
      </x:c>
      <x:c r="L272" s="28" t="n">
        <x:f>SUMIFS('Categorias'!$F$4:$F$1347,'Categorias'!$E$4:$E$1347,B272,'Categorias'!$A$4:$A$1347,L$3)</x:f>
        <x:v>0</x:v>
      </x:c>
      <x:c r="M272" s="28" t="n">
        <x:f>SUMIFS('Categorias'!$F$4:$F$1347,'Categorias'!$E$4:$E$1347,B272,'Categorias'!$A$4:$A$1347,M$3)</x:f>
        <x:v>0</x:v>
      </x:c>
      <x:c r="N272" s="47" t="n">
        <x:f>SUMIFS('Categorias'!$F$4:$F$1347,'Categorias'!$E$4:$E$1347,B272,'Categorias'!$A$4:$A$1347,N$3)</x:f>
        <x:v>0</x:v>
      </x:c>
    </x:row>
    <x:row r="273">
      <x:c r="A273" s="43" t="n">
        <x:f>RANK.EQ(C273,$C$4:$C$273,0)</x:f>
        <x:v>247</x:v>
      </x:c>
      <x:c r="B273" s="44" t="str">
        <x:v>user01Ouser</x:v>
      </x:c>
      <x:c r="C273" s="31" t="n">
        <x:f>SUMIF('Categorias'!$E$4:$E$1347,B273,'Categorias'!$F$4:$F$1347)</x:f>
        <x:v>0</x:v>
      </x:c>
      <x:c r="D273" s="31" t="n">
        <x:f>SUMIFS('Categorias'!$F$4:$F$1347,'Categorias'!$E$4:$E$1347,B273,'Categorias'!$A$4:$A$1347,D$3)</x:f>
        <x:v>0</x:v>
      </x:c>
      <x:c r="E273" s="31" t="n">
        <x:f>SUMIFS('Categorias'!$F$4:$F$1347,'Categorias'!$E$4:$E$1347,B273,'Categorias'!$A$4:$A$1347,E$3)</x:f>
        <x:v>0</x:v>
      </x:c>
      <x:c r="F273" s="31" t="n">
        <x:f>SUMIFS('Categorias'!$F$4:$F$1347,'Categorias'!$E$4:$E$1347,B273,'Categorias'!$A$4:$A$1347,F$3)</x:f>
        <x:v>0</x:v>
      </x:c>
      <x:c r="G273" s="31" t="n">
        <x:f>SUMIFS('Categorias'!$F$4:$F$1347,'Categorias'!$E$4:$E$1347,B273,'Categorias'!$A$4:$A$1347,G$3)</x:f>
        <x:v>0</x:v>
      </x:c>
      <x:c r="H273" s="31" t="n">
        <x:f>SUMIFS('Categorias'!$F$4:$F$1347,'Categorias'!$E$4:$E$1347,B273,'Categorias'!$A$4:$A$1347,H$3)</x:f>
        <x:v>0</x:v>
      </x:c>
      <x:c r="I273" s="31" t="n">
        <x:f>SUMIFS('Categorias'!$F$4:$F$1347,'Categorias'!$E$4:$E$1347,B273,'Categorias'!$A$4:$A$1347,I$3)</x:f>
        <x:v>0</x:v>
      </x:c>
      <x:c r="J273" s="31" t="n">
        <x:f>SUMIFS('Categorias'!$F$4:$F$1347,'Categorias'!$E$4:$E$1347,B273,'Categorias'!$A$4:$A$1347,J$3)</x:f>
        <x:v>0</x:v>
      </x:c>
      <x:c r="K273" s="31" t="n">
        <x:f>SUMIFS('Categorias'!$F$4:$F$1347,'Categorias'!$E$4:$E$1347,B273,'Categorias'!$A$4:$A$1347,K$3)</x:f>
        <x:v>0</x:v>
      </x:c>
      <x:c r="L273" s="31" t="n">
        <x:f>SUMIFS('Categorias'!$F$4:$F$1347,'Categorias'!$E$4:$E$1347,B273,'Categorias'!$A$4:$A$1347,L$3)</x:f>
        <x:v>0</x:v>
      </x:c>
      <x:c r="M273" s="31" t="n">
        <x:f>SUMIFS('Categorias'!$F$4:$F$1347,'Categorias'!$E$4:$E$1347,B273,'Categorias'!$A$4:$A$1347,M$3)</x:f>
        <x:v>0</x:v>
      </x:c>
      <x:c r="N273" s="48" t="n">
        <x:f>SUMIFS('Categorias'!$F$4:$F$1347,'Categorias'!$E$4:$E$1347,B273,'Categorias'!$A$4:$A$1347,N$3)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4" hidden="0" customWidth="1"/>
    <x:col min="5" max="5" width="24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Fonte detalhada por categoria</x:v>
      </x:c>
      <x:c r="B1" s="3" t="str">
        <x:v>Fonte detalhada por categoria</x:v>
      </x:c>
      <x:c r="C1" s="3" t="str">
        <x:v>Fonte detalhada por categoria</x:v>
      </x:c>
      <x:c r="D1" s="3" t="str">
        <x:v>Fonte detalhada por categoria</x:v>
      </x:c>
      <x:c r="E1" s="3" t="str">
        <x:v>Fonte detalhada por categoria</x:v>
      </x:c>
      <x:c r="F1" s="3" t="str">
        <x:v>Fonte detalhada por categoria</x:v>
      </x:c>
      <x:c r="G1" s="3" t="str">
        <x:v>Fonte detalhada por categoria</x:v>
      </x:c>
    </x:row>
    <x:row r="3" ht="26" customHeight="1">
      <x:c r="A3" s="24" t="str">
        <x:v>Categoria</x:v>
      </x:c>
      <x:c r="B3" s="25" t="str">
        <x:v>Pontos Season da categoria</x:v>
      </x:c>
      <x:c r="C3" s="25" t="str">
        <x:v>Total bruto da categoria</x:v>
      </x:c>
      <x:c r="D3" s="25" t="str">
        <x:v>Rank na categoria</x:v>
      </x:c>
      <x:c r="E3" s="25" t="str">
        <x:v>Jogador</x:v>
      </x:c>
      <x:c r="F3" s="25" t="str">
        <x:v>Pontos brutos</x:v>
      </x:c>
      <x:c r="G3" s="26" t="str">
        <x:v>Season Points estimados</x:v>
      </x:c>
    </x:row>
    <x:row r="4">
      <x:c r="A4" s="33" t="str">
        <x:v>Guild Challenge</x:v>
      </x:c>
      <x:c r="B4" s="34" t="n">
        <x:v>17100</x:v>
      </x:c>
      <x:c r="C4" s="34" t="n">
        <x:v>212132955</x:v>
      </x:c>
      <x:c r="D4" s="34" t="n">
        <x:v>1</x:v>
      </x:c>
      <x:c r="E4" s="34" t="str">
        <x:v>jrfate</x:v>
      </x:c>
      <x:c r="F4" s="34" t="n">
        <x:v>17122000</x:v>
      </x:c>
      <x:c r="G4" s="35" t="n">
        <x:f>IF(C4=0,0,F4/C4*B4)</x:f>
        <x:v>1380.2013930367395</x:v>
      </x:c>
    </x:row>
    <x:row r="5">
      <x:c r="A5" s="33" t="str">
        <x:v>Guild Challenge</x:v>
      </x:c>
      <x:c r="B5" s="34" t="n">
        <x:v>17100</x:v>
      </x:c>
      <x:c r="C5" s="34" t="n">
        <x:v>212132955</x:v>
      </x:c>
      <x:c r="D5" s="34" t="n">
        <x:v>2</x:v>
      </x:c>
      <x:c r="E5" s="34" t="str">
        <x:v>Horsix</x:v>
      </x:c>
      <x:c r="F5" s="34" t="n">
        <x:v>15224000</x:v>
      </x:c>
      <x:c r="G5" s="35" t="n">
        <x:f>IF(C5=0,0,F5/C5*B5)</x:f>
        <x:v>1227.2039485802666</x:v>
      </x:c>
    </x:row>
    <x:row r="6">
      <x:c r="A6" s="33" t="str">
        <x:v>Guild Challenge</x:v>
      </x:c>
      <x:c r="B6" s="34" t="n">
        <x:v>17100</x:v>
      </x:c>
      <x:c r="C6" s="34" t="n">
        <x:v>212132955</x:v>
      </x:c>
      <x:c r="D6" s="34" t="n">
        <x:v>3</x:v>
      </x:c>
      <x:c r="E6" s="34" t="str">
        <x:v>TKZX</x:v>
      </x:c>
      <x:c r="F6" s="34" t="n">
        <x:v>12788000</x:v>
      </x:c>
      <x:c r="G6" s="35" t="n">
        <x:f>IF(C6=0,0,F6/C6*B6)</x:f>
        <x:v>1030.83841923571</x:v>
      </x:c>
    </x:row>
    <x:row r="7">
      <x:c r="A7" s="33" t="str">
        <x:v>Guild Challenge</x:v>
      </x:c>
      <x:c r="B7" s="34" t="n">
        <x:v>17100</x:v>
      </x:c>
      <x:c r="C7" s="34" t="n">
        <x:v>212132955</x:v>
      </x:c>
      <x:c r="D7" s="34" t="n">
        <x:v>4</x:v>
      </x:c>
      <x:c r="E7" s="34" t="str">
        <x:v>Sabedoria7</x:v>
      </x:c>
      <x:c r="F7" s="34" t="n">
        <x:v>7693527</x:v>
      </x:c>
      <x:c r="G7" s="35" t="n">
        <x:f>IF(C7=0,0,F7/C7*B7)</x:f>
        <x:v>620.1738513471422</x:v>
      </x:c>
    </x:row>
    <x:row r="8">
      <x:c r="A8" s="33" t="str">
        <x:v>Guild Challenge</x:v>
      </x:c>
      <x:c r="B8" s="34" t="n">
        <x:v>17100</x:v>
      </x:c>
      <x:c r="C8" s="34" t="n">
        <x:v>212132955</x:v>
      </x:c>
      <x:c r="D8" s="34" t="n">
        <x:v>5</x:v>
      </x:c>
      <x:c r="E8" s="34" t="str">
        <x:v>imdonedontkillme</x:v>
      </x:c>
      <x:c r="F8" s="34" t="n">
        <x:v>5887500</x:v>
      </x:c>
      <x:c r="G8" s="35" t="n">
        <x:f>IF(C8=0,0,F8/C8*B8)</x:f>
        <x:v>474.5903341609511</x:v>
      </x:c>
    </x:row>
    <x:row r="9">
      <x:c r="A9" s="33" t="str">
        <x:v>Guild Challenge</x:v>
      </x:c>
      <x:c r="B9" s="34" t="n">
        <x:v>17100</x:v>
      </x:c>
      <x:c r="C9" s="34" t="n">
        <x:v>212132955</x:v>
      </x:c>
      <x:c r="D9" s="34" t="n">
        <x:v>6</x:v>
      </x:c>
      <x:c r="E9" s="34" t="str">
        <x:v>Euhh</x:v>
      </x:c>
      <x:c r="F9" s="34" t="n">
        <x:v>5184007</x:v>
      </x:c>
      <x:c r="G9" s="35" t="n">
        <x:f>IF(C9=0,0,F9/C9*B9)</x:f>
        <x:v>417.8818878000356</x:v>
      </x:c>
    </x:row>
    <x:row r="10">
      <x:c r="A10" s="33" t="str">
        <x:v>Guild Challenge</x:v>
      </x:c>
      <x:c r="B10" s="34" t="n">
        <x:v>17100</x:v>
      </x:c>
      <x:c r="C10" s="34" t="n">
        <x:v>212132955</x:v>
      </x:c>
      <x:c r="D10" s="34" t="n">
        <x:v>7</x:v>
      </x:c>
      <x:c r="E10" s="34" t="str">
        <x:v>SerpentVeil</x:v>
      </x:c>
      <x:c r="F10" s="34" t="n">
        <x:v>5162019</x:v>
      </x:c>
      <x:c r="G10" s="35" t="n">
        <x:f>IF(C10=0,0,F10/C10*B10)</x:f>
        <x:v>416.109439007249</x:v>
      </x:c>
    </x:row>
    <x:row r="11">
      <x:c r="A11" s="33" t="str">
        <x:v>Guild Challenge</x:v>
      </x:c>
      <x:c r="B11" s="34" t="n">
        <x:v>17100</x:v>
      </x:c>
      <x:c r="C11" s="34" t="n">
        <x:v>212132955</x:v>
      </x:c>
      <x:c r="D11" s="34" t="n">
        <x:v>8</x:v>
      </x:c>
      <x:c r="E11" s="34" t="str">
        <x:v>JrMadRyukk</x:v>
      </x:c>
      <x:c r="F11" s="34" t="n">
        <x:v>4730858</x:v>
      </x:c>
      <x:c r="G11" s="35" t="n">
        <x:f>IF(C11=0,0,F11/C11*B11)</x:f>
        <x:v>381.35362702131783</x:v>
      </x:c>
    </x:row>
    <x:row r="12">
      <x:c r="A12" s="33" t="str">
        <x:v>Guild Challenge</x:v>
      </x:c>
      <x:c r="B12" s="34" t="n">
        <x:v>17100</x:v>
      </x:c>
      <x:c r="C12" s="34" t="n">
        <x:v>212132955</x:v>
      </x:c>
      <x:c r="D12" s="34" t="n">
        <x:v>9</x:v>
      </x:c>
      <x:c r="E12" s="34" t="str">
        <x:v>xXFate</x:v>
      </x:c>
      <x:c r="F12" s="34" t="n">
        <x:v>4428778</x:v>
      </x:c>
      <x:c r="G12" s="35" t="n">
        <x:f>IF(C12=0,0,F12/C12*B12)</x:f>
        <x:v>357.00301162542144</x:v>
      </x:c>
    </x:row>
    <x:row r="13">
      <x:c r="A13" s="33" t="str">
        <x:v>Guild Challenge</x:v>
      </x:c>
      <x:c r="B13" s="34" t="n">
        <x:v>17100</x:v>
      </x:c>
      <x:c r="C13" s="34" t="n">
        <x:v>212132955</x:v>
      </x:c>
      <x:c r="D13" s="34" t="n">
        <x:v>10</x:v>
      </x:c>
      <x:c r="E13" s="34" t="str">
        <x:v>PlantsTK</x:v>
      </x:c>
      <x:c r="F13" s="34" t="n">
        <x:v>3959913</x:v>
      </x:c>
      <x:c r="G13" s="35" t="n">
        <x:f>IF(C13=0,0,F13/C13*B13)</x:f>
        <x:v>319.20788686510303</x:v>
      </x:c>
    </x:row>
    <x:row r="14">
      <x:c r="A14" s="33" t="str">
        <x:v>Guild Challenge</x:v>
      </x:c>
      <x:c r="B14" s="34" t="n">
        <x:v>17100</x:v>
      </x:c>
      <x:c r="C14" s="34" t="n">
        <x:v>212132955</x:v>
      </x:c>
      <x:c r="D14" s="34" t="n">
        <x:v>11</x:v>
      </x:c>
      <x:c r="E14" s="34" t="str">
        <x:v>Tmaiusculo</x:v>
      </x:c>
      <x:c r="F14" s="34" t="n">
        <x:v>3538195</x:v>
      </x:c>
      <x:c r="G14" s="35" t="n">
        <x:f>IF(C14=0,0,F14/C14*B14)</x:f>
        <x:v>285.21327343976327</x:v>
      </x:c>
    </x:row>
    <x:row r="15">
      <x:c r="A15" s="33" t="str">
        <x:v>Guild Challenge</x:v>
      </x:c>
      <x:c r="B15" s="34" t="n">
        <x:v>17100</x:v>
      </x:c>
      <x:c r="C15" s="34" t="n">
        <x:v>212132955</x:v>
      </x:c>
      <x:c r="D15" s="34" t="n">
        <x:v>12</x:v>
      </x:c>
      <x:c r="E15" s="34" t="str">
        <x:v>Hi6or</x:v>
      </x:c>
      <x:c r="F15" s="34" t="n">
        <x:v>3237385</x:v>
      </x:c>
      <x:c r="G15" s="35" t="n">
        <x:f>IF(C15=0,0,F15/C15*B15)</x:f>
        <x:v>260.96503251934615</x:v>
      </x:c>
    </x:row>
    <x:row r="16">
      <x:c r="A16" s="33" t="str">
        <x:v>Guild Challenge</x:v>
      </x:c>
      <x:c r="B16" s="34" t="n">
        <x:v>17100</x:v>
      </x:c>
      <x:c r="C16" s="34" t="n">
        <x:v>212132955</x:v>
      </x:c>
      <x:c r="D16" s="34" t="n">
        <x:v>13</x:v>
      </x:c>
      <x:c r="E16" s="34" t="str">
        <x:v>BSAIGunner</x:v>
      </x:c>
      <x:c r="F16" s="34" t="n">
        <x:v>3190074</x:v>
      </x:c>
      <x:c r="G16" s="35" t="n">
        <x:f>IF(C16=0,0,F16/C16*B16)</x:f>
        <x:v>257.1513011733608</x:v>
      </x:c>
    </x:row>
    <x:row r="17">
      <x:c r="A17" s="33" t="str">
        <x:v>Guild Challenge</x:v>
      </x:c>
      <x:c r="B17" s="34" t="n">
        <x:v>17100</x:v>
      </x:c>
      <x:c r="C17" s="34" t="n">
        <x:v>212132955</x:v>
      </x:c>
      <x:c r="D17" s="34" t="n">
        <x:v>14</x:v>
      </x:c>
      <x:c r="E17" s="34" t="str">
        <x:v>Nagacaburos</x:v>
      </x:c>
      <x:c r="F17" s="34" t="n">
        <x:v>3160196</x:v>
      </x:c>
      <x:c r="G17" s="35" t="n">
        <x:f>IF(C17=0,0,F17/C17*B17)</x:f>
        <x:v>254.74284087543117</x:v>
      </x:c>
    </x:row>
    <x:row r="18">
      <x:c r="A18" s="33" t="str">
        <x:v>Guild Challenge</x:v>
      </x:c>
      <x:c r="B18" s="34" t="n">
        <x:v>17100</x:v>
      </x:c>
      <x:c r="C18" s="34" t="n">
        <x:v>212132955</x:v>
      </x:c>
      <x:c r="D18" s="34" t="n">
        <x:v>15</x:v>
      </x:c>
      <x:c r="E18" s="34" t="str">
        <x:v>jokker1998</x:v>
      </x:c>
      <x:c r="F18" s="34" t="n">
        <x:v>2772615</x:v>
      </x:c>
      <x:c r="G18" s="35" t="n">
        <x:f>IF(C18=0,0,F18/C18*B18)</x:f>
        <x:v>223.50000498508118</x:v>
      </x:c>
    </x:row>
    <x:row r="19">
      <x:c r="A19" s="33" t="str">
        <x:v>Guild Challenge</x:v>
      </x:c>
      <x:c r="B19" s="34" t="n">
        <x:v>17100</x:v>
      </x:c>
      <x:c r="C19" s="34" t="n">
        <x:v>212132955</x:v>
      </x:c>
      <x:c r="D19" s="34" t="n">
        <x:v>16</x:v>
      </x:c>
      <x:c r="E19" s="34" t="str">
        <x:v>OniGuM000</x:v>
      </x:c>
      <x:c r="F19" s="34" t="n">
        <x:v>2646599</x:v>
      </x:c>
      <x:c r="G19" s="35" t="n">
        <x:f>IF(C19=0,0,F19/C19*B19)</x:f>
        <x:v>213.34187750319134</x:v>
      </x:c>
    </x:row>
    <x:row r="20">
      <x:c r="A20" s="33" t="str">
        <x:v>Guild Challenge</x:v>
      </x:c>
      <x:c r="B20" s="34" t="n">
        <x:v>17100</x:v>
      </x:c>
      <x:c r="C20" s="34" t="n">
        <x:v>212132955</x:v>
      </x:c>
      <x:c r="D20" s="34" t="n">
        <x:v>17</x:v>
      </x:c>
      <x:c r="E20" s="34" t="str">
        <x:v>Julioczr</x:v>
      </x:c>
      <x:c r="F20" s="34" t="n">
        <x:v>2624927</x:v>
      </x:c>
      <x:c r="G20" s="35" t="n">
        <x:f>IF(C20=0,0,F20/C20*B20)</x:f>
        <x:v>211.59490141453978</x:v>
      </x:c>
    </x:row>
    <x:row r="21">
      <x:c r="A21" s="33" t="str">
        <x:v>Guild Challenge</x:v>
      </x:c>
      <x:c r="B21" s="34" t="n">
        <x:v>17100</x:v>
      </x:c>
      <x:c r="C21" s="34" t="n">
        <x:v>212132955</x:v>
      </x:c>
      <x:c r="D21" s="34" t="n">
        <x:v>18</x:v>
      </x:c>
      <x:c r="E21" s="34" t="str">
        <x:v>lordkiller01</x:v>
      </x:c>
      <x:c r="F21" s="34" t="n">
        <x:v>2616956</x:v>
      </x:c>
      <x:c r="G21" s="35" t="n">
        <x:f>IF(C21=0,0,F21/C21*B21)</x:f>
        <x:v>210.9523605137165</x:v>
      </x:c>
    </x:row>
    <x:row r="22">
      <x:c r="A22" s="33" t="str">
        <x:v>Guild Challenge</x:v>
      </x:c>
      <x:c r="B22" s="34" t="n">
        <x:v>17100</x:v>
      </x:c>
      <x:c r="C22" s="34" t="n">
        <x:v>212132955</x:v>
      </x:c>
      <x:c r="D22" s="34" t="n">
        <x:v>19</x:v>
      </x:c>
      <x:c r="E22" s="34" t="str">
        <x:v>dsn</x:v>
      </x:c>
      <x:c r="F22" s="34" t="n">
        <x:v>2584852</x:v>
      </x:c>
      <x:c r="G22" s="35" t="n">
        <x:f>IF(C22=0,0,F22/C22*B22)</x:f>
        <x:v>208.3644627493168</x:v>
      </x:c>
    </x:row>
    <x:row r="23">
      <x:c r="A23" s="33" t="str">
        <x:v>Guild Challenge</x:v>
      </x:c>
      <x:c r="B23" s="34" t="n">
        <x:v>17100</x:v>
      </x:c>
      <x:c r="C23" s="34" t="n">
        <x:v>212132955</x:v>
      </x:c>
      <x:c r="D23" s="34" t="n">
        <x:v>20</x:v>
      </x:c>
      <x:c r="E23" s="34" t="str">
        <x:v>Groom84</x:v>
      </x:c>
      <x:c r="F23" s="34" t="n">
        <x:v>2515082</x:v>
      </x:c>
      <x:c r="G23" s="35" t="n">
        <x:f>IF(C23=0,0,F23/C23*B23)</x:f>
        <x:v>202.740315383812</x:v>
      </x:c>
    </x:row>
    <x:row r="24">
      <x:c r="A24" s="33" t="str">
        <x:v>Guild Challenge</x:v>
      </x:c>
      <x:c r="B24" s="34" t="n">
        <x:v>17100</x:v>
      </x:c>
      <x:c r="C24" s="34" t="n">
        <x:v>212132955</x:v>
      </x:c>
      <x:c r="D24" s="34" t="n">
        <x:v>21</x:v>
      </x:c>
      <x:c r="E24" s="34" t="str">
        <x:v>ISpellNotFound</x:v>
      </x:c>
      <x:c r="F24" s="34" t="n">
        <x:v>2502224</x:v>
      </x:c>
      <x:c r="G24" s="35" t="n">
        <x:f>IF(C24=0,0,F24/C24*B24)</x:f>
        <x:v>201.70383427695145</x:v>
      </x:c>
    </x:row>
    <x:row r="25">
      <x:c r="A25" s="33" t="str">
        <x:v>Guild Challenge</x:v>
      </x:c>
      <x:c r="B25" s="34" t="n">
        <x:v>17100</x:v>
      </x:c>
      <x:c r="C25" s="34" t="n">
        <x:v>212132955</x:v>
      </x:c>
      <x:c r="D25" s="34" t="n">
        <x:v>22</x:v>
      </x:c>
      <x:c r="E25" s="34" t="str">
        <x:v>Jairrodrigo</x:v>
      </x:c>
      <x:c r="F25" s="34" t="n">
        <x:v>2453701</x:v>
      </x:c>
      <x:c r="G25" s="35" t="n">
        <x:f>IF(C25=0,0,F25/C25*B25)</x:f>
        <x:v>197.7924038252331</x:v>
      </x:c>
    </x:row>
    <x:row r="26">
      <x:c r="A26" s="33" t="str">
        <x:v>Guild Challenge</x:v>
      </x:c>
      <x:c r="B26" s="34" t="n">
        <x:v>17100</x:v>
      </x:c>
      <x:c r="C26" s="34" t="n">
        <x:v>212132955</x:v>
      </x:c>
      <x:c r="D26" s="34" t="n">
        <x:v>23</x:v>
      </x:c>
      <x:c r="E26" s="34" t="str">
        <x:v>minhafemea1</x:v>
      </x:c>
      <x:c r="F26" s="34" t="n">
        <x:v>2392960</x:v>
      </x:c>
      <x:c r="G26" s="35" t="n">
        <x:f>IF(C26=0,0,F26/C26*B26)</x:f>
        <x:v>192.8960825535099</x:v>
      </x:c>
    </x:row>
    <x:row r="27">
      <x:c r="A27" s="33" t="str">
        <x:v>Guild Challenge</x:v>
      </x:c>
      <x:c r="B27" s="34" t="n">
        <x:v>17100</x:v>
      </x:c>
      <x:c r="C27" s="34" t="n">
        <x:v>212132955</x:v>
      </x:c>
      <x:c r="D27" s="34" t="n">
        <x:v>24</x:v>
      </x:c>
      <x:c r="E27" s="34" t="str">
        <x:v>WellITKD</x:v>
      </x:c>
      <x:c r="F27" s="34" t="n">
        <x:v>2339725</x:v>
      </x:c>
      <x:c r="G27" s="35" t="n">
        <x:f>IF(C27=0,0,F27/C27*B27)</x:f>
        <x:v>188.60481861481637</x:v>
      </x:c>
    </x:row>
    <x:row r="28">
      <x:c r="A28" s="33" t="str">
        <x:v>Guild Challenge</x:v>
      </x:c>
      <x:c r="B28" s="34" t="n">
        <x:v>17100</x:v>
      </x:c>
      <x:c r="C28" s="34" t="n">
        <x:v>212132955</x:v>
      </x:c>
      <x:c r="D28" s="34" t="n">
        <x:v>25</x:v>
      </x:c>
      <x:c r="E28" s="34" t="str">
        <x:v>MatMac</x:v>
      </x:c>
      <x:c r="F28" s="34" t="n">
        <x:v>2294095</x:v>
      </x:c>
      <x:c r="G28" s="35" t="n">
        <x:f>IF(C28=0,0,F28/C28*B28)</x:f>
        <x:v>184.92659238165047</x:v>
      </x:c>
    </x:row>
    <x:row r="29">
      <x:c r="A29" s="33" t="str">
        <x:v>Guild Challenge</x:v>
      </x:c>
      <x:c r="B29" s="34" t="n">
        <x:v>17100</x:v>
      </x:c>
      <x:c r="C29" s="34" t="n">
        <x:v>212132955</x:v>
      </x:c>
      <x:c r="D29" s="34" t="n">
        <x:v>26</x:v>
      </x:c>
      <x:c r="E29" s="34" t="str">
        <x:v>Dorfiuses</x:v>
      </x:c>
      <x:c r="F29" s="34" t="n">
        <x:v>2164737</x:v>
      </x:c>
      <x:c r="G29" s="35" t="n">
        <x:f>IF(C29=0,0,F29/C29*B29)</x:f>
        <x:v>174.49906687058595</x:v>
      </x:c>
    </x:row>
    <x:row r="30">
      <x:c r="A30" s="33" t="str">
        <x:v>Guild Challenge</x:v>
      </x:c>
      <x:c r="B30" s="34" t="n">
        <x:v>17100</x:v>
      </x:c>
      <x:c r="C30" s="34" t="n">
        <x:v>212132955</x:v>
      </x:c>
      <x:c r="D30" s="34" t="n">
        <x:v>27</x:v>
      </x:c>
      <x:c r="E30" s="34" t="str">
        <x:v>avven1996</x:v>
      </x:c>
      <x:c r="F30" s="34" t="n">
        <x:v>2064915</x:v>
      </x:c>
      <x:c r="G30" s="35" t="n">
        <x:f>IF(C30=0,0,F30/C30*B30)</x:f>
        <x:v>166.45243309791258</x:v>
      </x:c>
    </x:row>
    <x:row r="31">
      <x:c r="A31" s="33" t="str">
        <x:v>Guild Challenge</x:v>
      </x:c>
      <x:c r="B31" s="34" t="n">
        <x:v>17100</x:v>
      </x:c>
      <x:c r="C31" s="34" t="n">
        <x:v>212132955</x:v>
      </x:c>
      <x:c r="D31" s="34" t="n">
        <x:v>28</x:v>
      </x:c>
      <x:c r="E31" s="34" t="str">
        <x:v>maicon1357</x:v>
      </x:c>
      <x:c r="F31" s="34" t="n">
        <x:v>2020696</x:v>
      </x:c>
      <x:c r="G31" s="35" t="n">
        <x:f>IF(C31=0,0,F31/C31*B31)</x:f>
        <x:v>162.88794732529888</x:v>
      </x:c>
    </x:row>
    <x:row r="32">
      <x:c r="A32" s="33" t="str">
        <x:v>Guild Challenge</x:v>
      </x:c>
      <x:c r="B32" s="34" t="n">
        <x:v>17100</x:v>
      </x:c>
      <x:c r="C32" s="34" t="n">
        <x:v>212132955</x:v>
      </x:c>
      <x:c r="D32" s="34" t="n">
        <x:v>29</x:v>
      </x:c>
      <x:c r="E32" s="34" t="str">
        <x:v>BrEnnD</x:v>
      </x:c>
      <x:c r="F32" s="34" t="n">
        <x:v>2011435</x:v>
      </x:c>
      <x:c r="G32" s="35" t="n">
        <x:f>IF(C32=0,0,F32/C32*B32)</x:f>
        <x:v>162.14141975253207</x:v>
      </x:c>
    </x:row>
    <x:row r="33">
      <x:c r="A33" s="33" t="str">
        <x:v>Guild Challenge</x:v>
      </x:c>
      <x:c r="B33" s="34" t="n">
        <x:v>17100</x:v>
      </x:c>
      <x:c r="C33" s="34" t="n">
        <x:v>212132955</x:v>
      </x:c>
      <x:c r="D33" s="34" t="n">
        <x:v>30</x:v>
      </x:c>
      <x:c r="E33" s="34" t="str">
        <x:v>Akuma1000</x:v>
      </x:c>
      <x:c r="F33" s="34" t="n">
        <x:v>2005800</x:v>
      </x:c>
      <x:c r="G33" s="35" t="n">
        <x:f>IF(C33=0,0,F33/C33*B33)</x:f>
        <x:v>161.68718339873217</x:v>
      </x:c>
    </x:row>
    <x:row r="34">
      <x:c r="A34" s="33" t="str">
        <x:v>Guild Challenge</x:v>
      </x:c>
      <x:c r="B34" s="34" t="n">
        <x:v>17100</x:v>
      </x:c>
      <x:c r="C34" s="34" t="n">
        <x:v>212132955</x:v>
      </x:c>
      <x:c r="D34" s="34" t="n">
        <x:v>31</x:v>
      </x:c>
      <x:c r="E34" s="34" t="str">
        <x:v>theYousek</x:v>
      </x:c>
      <x:c r="F34" s="34" t="n">
        <x:v>1955190</x:v>
      </x:c>
      <x:c r="G34" s="35" t="n">
        <x:f>IF(C34=0,0,F34/C34*B34)</x:f>
        <x:v>157.60752024597028</x:v>
      </x:c>
    </x:row>
    <x:row r="35">
      <x:c r="A35" s="33" t="str">
        <x:v>Guild Challenge</x:v>
      </x:c>
      <x:c r="B35" s="34" t="n">
        <x:v>17100</x:v>
      </x:c>
      <x:c r="C35" s="34" t="n">
        <x:v>212132955</x:v>
      </x:c>
      <x:c r="D35" s="34" t="n">
        <x:v>32</x:v>
      </x:c>
      <x:c r="E35" s="34" t="str">
        <x:v>jordansPt</x:v>
      </x:c>
      <x:c r="F35" s="34" t="n">
        <x:v>1952354</x:v>
      </x:c>
      <x:c r="G35" s="35" t="n">
        <x:f>IF(C35=0,0,F35/C35*B35)</x:f>
        <x:v>157.37891078734089</x:v>
      </x:c>
    </x:row>
    <x:row r="36">
      <x:c r="A36" s="33" t="str">
        <x:v>Guild Challenge</x:v>
      </x:c>
      <x:c r="B36" s="34" t="n">
        <x:v>17100</x:v>
      </x:c>
      <x:c r="C36" s="34" t="n">
        <x:v>212132955</x:v>
      </x:c>
      <x:c r="D36" s="34" t="n">
        <x:v>33</x:v>
      </x:c>
      <x:c r="E36" s="34" t="str">
        <x:v>LEOPOLD</x:v>
      </x:c>
      <x:c r="F36" s="34" t="n">
        <x:v>1904072</x:v>
      </x:c>
      <x:c r="G36" s="35" t="n">
        <x:f>IF(C36=0,0,F36/C36*B36)</x:f>
        <x:v>153.48690730301664</x:v>
      </x:c>
    </x:row>
    <x:row r="37">
      <x:c r="A37" s="33" t="str">
        <x:v>Guild Challenge</x:v>
      </x:c>
      <x:c r="B37" s="34" t="n">
        <x:v>17100</x:v>
      </x:c>
      <x:c r="C37" s="34" t="n">
        <x:v>212132955</x:v>
      </x:c>
      <x:c r="D37" s="34" t="n">
        <x:v>34</x:v>
      </x:c>
      <x:c r="E37" s="34" t="str">
        <x:v>goncalves23</x:v>
      </x:c>
      <x:c r="F37" s="34" t="n">
        <x:v>1750320</x:v>
      </x:c>
      <x:c r="G37" s="35" t="n">
        <x:f>IF(C37=0,0,F37/C37*B37)</x:f>
        <x:v>141.09298576451735</x:v>
      </x:c>
    </x:row>
    <x:row r="38">
      <x:c r="A38" s="33" t="str">
        <x:v>Guild Challenge</x:v>
      </x:c>
      <x:c r="B38" s="34" t="n">
        <x:v>17100</x:v>
      </x:c>
      <x:c r="C38" s="34" t="n">
        <x:v>212132955</x:v>
      </x:c>
      <x:c r="D38" s="34" t="n">
        <x:v>35</x:v>
      </x:c>
      <x:c r="E38" s="34" t="str">
        <x:v>Lamusk</x:v>
      </x:c>
      <x:c r="F38" s="34" t="n">
        <x:v>1690890</x:v>
      </x:c>
      <x:c r="G38" s="35" t="n">
        <x:f>IF(C38=0,0,F38/C38*B38)</x:f>
        <x:v>136.30234397102515</x:v>
      </x:c>
    </x:row>
    <x:row r="39">
      <x:c r="A39" s="33" t="str">
        <x:v>Guild Challenge</x:v>
      </x:c>
      <x:c r="B39" s="34" t="n">
        <x:v>17100</x:v>
      </x:c>
      <x:c r="C39" s="34" t="n">
        <x:v>212132955</x:v>
      </x:c>
      <x:c r="D39" s="34" t="n">
        <x:v>36</x:v>
      </x:c>
      <x:c r="E39" s="34" t="str">
        <x:v>LipeFuab</x:v>
      </x:c>
      <x:c r="F39" s="34" t="n">
        <x:v>1669077</x:v>
      </x:c>
      <x:c r="G39" s="35" t="n">
        <x:f>IF(C39=0,0,F39/C39*B39)</x:f>
        <x:v>134.5440018973007</x:v>
      </x:c>
    </x:row>
    <x:row r="40">
      <x:c r="A40" s="33" t="str">
        <x:v>Guild Challenge</x:v>
      </x:c>
      <x:c r="B40" s="34" t="n">
        <x:v>17100</x:v>
      </x:c>
      <x:c r="C40" s="34" t="n">
        <x:v>212132955</x:v>
      </x:c>
      <x:c r="D40" s="34" t="n">
        <x:v>37</x:v>
      </x:c>
      <x:c r="E40" s="34" t="str">
        <x:v>Natsury</x:v>
      </x:c>
      <x:c r="F40" s="34" t="n">
        <x:v>1633355</x:v>
      </x:c>
      <x:c r="G40" s="35" t="n">
        <x:f>IF(C40=0,0,F40/C40*B40)</x:f>
        <x:v>131.66445779251978</x:v>
      </x:c>
    </x:row>
    <x:row r="41">
      <x:c r="A41" s="33" t="str">
        <x:v>Guild Challenge</x:v>
      </x:c>
      <x:c r="B41" s="34" t="n">
        <x:v>17100</x:v>
      </x:c>
      <x:c r="C41" s="34" t="n">
        <x:v>212132955</x:v>
      </x:c>
      <x:c r="D41" s="34" t="n">
        <x:v>38</x:v>
      </x:c>
      <x:c r="E41" s="34" t="str">
        <x:v>KuNaKiNa</x:v>
      </x:c>
      <x:c r="F41" s="34" t="n">
        <x:v>1624030</x:v>
      </x:c>
      <x:c r="G41" s="35" t="n">
        <x:f>IF(C41=0,0,F41/C41*B41)</x:f>
        <x:v>130.9127711910674</x:v>
      </x:c>
    </x:row>
    <x:row r="42">
      <x:c r="A42" s="33" t="str">
        <x:v>Guild Challenge</x:v>
      </x:c>
      <x:c r="B42" s="34" t="n">
        <x:v>17100</x:v>
      </x:c>
      <x:c r="C42" s="34" t="n">
        <x:v>212132955</x:v>
      </x:c>
      <x:c r="D42" s="34" t="n">
        <x:v>39</x:v>
      </x:c>
      <x:c r="E42" s="34" t="str">
        <x:v>Reguilla</x:v>
      </x:c>
      <x:c r="F42" s="34" t="n">
        <x:v>1529970</x:v>
      </x:c>
      <x:c r="G42" s="35" t="n">
        <x:f>IF(C42=0,0,F42/C42*B42)</x:f>
        <x:v>123.33061121974188</x:v>
      </x:c>
    </x:row>
    <x:row r="43">
      <x:c r="A43" s="33" t="str">
        <x:v>Guild Challenge</x:v>
      </x:c>
      <x:c r="B43" s="34" t="n">
        <x:v>17100</x:v>
      </x:c>
      <x:c r="C43" s="34" t="n">
        <x:v>212132955</x:v>
      </x:c>
      <x:c r="D43" s="34" t="n">
        <x:v>40</x:v>
      </x:c>
      <x:c r="E43" s="34" t="str">
        <x:v>Ruizao</x:v>
      </x:c>
      <x:c r="F43" s="34" t="n">
        <x:v>1499223</x:v>
      </x:c>
      <x:c r="G43" s="35" t="n">
        <x:f>IF(C43=0,0,F43/C43*B43)</x:f>
        <x:v>120.85210098544096</x:v>
      </x:c>
    </x:row>
    <x:row r="44">
      <x:c r="A44" s="33" t="str">
        <x:v>Guild Challenge</x:v>
      </x:c>
      <x:c r="B44" s="34" t="n">
        <x:v>17100</x:v>
      </x:c>
      <x:c r="C44" s="34" t="n">
        <x:v>212132955</x:v>
      </x:c>
      <x:c r="D44" s="34" t="n">
        <x:v>41</x:v>
      </x:c>
      <x:c r="E44" s="34" t="str">
        <x:v>Cominhos</x:v>
      </x:c>
      <x:c r="F44" s="34" t="n">
        <x:v>1498697</x:v>
      </x:c>
      <x:c r="G44" s="35" t="n">
        <x:f>IF(C44=0,0,F44/C44*B44)</x:f>
        <x:v>120.8097002184314</x:v>
      </x:c>
    </x:row>
    <x:row r="45">
      <x:c r="A45" s="33" t="str">
        <x:v>Guild Challenge</x:v>
      </x:c>
      <x:c r="B45" s="34" t="n">
        <x:v>17100</x:v>
      </x:c>
      <x:c r="C45" s="34" t="n">
        <x:v>212132955</x:v>
      </x:c>
      <x:c r="D45" s="34" t="n">
        <x:v>42</x:v>
      </x:c>
      <x:c r="E45" s="34" t="str">
        <x:v>hardfedles</x:v>
      </x:c>
      <x:c r="F45" s="34" t="n">
        <x:v>1461299</x:v>
      </x:c>
      <x:c r="G45" s="35" t="n">
        <x:f>IF(C45=0,0,F45/C45*B45)</x:f>
        <x:v>117.79505404994713</x:v>
      </x:c>
    </x:row>
    <x:row r="46">
      <x:c r="A46" s="33" t="str">
        <x:v>Guild Challenge</x:v>
      </x:c>
      <x:c r="B46" s="34" t="n">
        <x:v>17100</x:v>
      </x:c>
      <x:c r="C46" s="34" t="n">
        <x:v>212132955</x:v>
      </x:c>
      <x:c r="D46" s="34" t="n">
        <x:v>43</x:v>
      </x:c>
      <x:c r="E46" s="34" t="str">
        <x:v>gugaboss</x:v>
      </x:c>
      <x:c r="F46" s="34" t="n">
        <x:v>1433704</x:v>
      </x:c>
      <x:c r="G46" s="35" t="n">
        <x:f>IF(C46=0,0,F46/C46*B46)</x:f>
        <x:v>115.57062597841056</x:v>
      </x:c>
    </x:row>
    <x:row r="47">
      <x:c r="A47" s="33" t="str">
        <x:v>Guild Challenge</x:v>
      </x:c>
      <x:c r="B47" s="34" t="n">
        <x:v>17100</x:v>
      </x:c>
      <x:c r="C47" s="34" t="n">
        <x:v>212132955</x:v>
      </x:c>
      <x:c r="D47" s="34" t="n">
        <x:v>44</x:v>
      </x:c>
      <x:c r="E47" s="34" t="str">
        <x:v>Patolas</x:v>
      </x:c>
      <x:c r="F47" s="34" t="n">
        <x:v>1426502</x:v>
      </x:c>
      <x:c r="G47" s="35" t="n">
        <x:f>IF(C47=0,0,F47/C47*B47)</x:f>
        <x:v>114.99007403163738</x:v>
      </x:c>
    </x:row>
    <x:row r="48">
      <x:c r="A48" s="33" t="str">
        <x:v>Guild Challenge</x:v>
      </x:c>
      <x:c r="B48" s="34" t="n">
        <x:v>17100</x:v>
      </x:c>
      <x:c r="C48" s="34" t="n">
        <x:v>212132955</x:v>
      </x:c>
      <x:c r="D48" s="34" t="n">
        <x:v>45</x:v>
      </x:c>
      <x:c r="E48" s="34" t="str">
        <x:v>Jmbv</x:v>
      </x:c>
      <x:c r="F48" s="34" t="n">
        <x:v>1398746</x:v>
      </x:c>
      <x:c r="G48" s="35" t="n">
        <x:f>IF(C48=0,0,F48/C48*B48)</x:f>
        <x:v>112.75266777856369</x:v>
      </x:c>
    </x:row>
    <x:row r="49">
      <x:c r="A49" s="33" t="str">
        <x:v>Guild Challenge</x:v>
      </x:c>
      <x:c r="B49" s="34" t="n">
        <x:v>17100</x:v>
      </x:c>
      <x:c r="C49" s="34" t="n">
        <x:v>212132955</x:v>
      </x:c>
      <x:c r="D49" s="34" t="n">
        <x:v>46</x:v>
      </x:c>
      <x:c r="E49" s="34" t="str">
        <x:v>Nandixx</x:v>
      </x:c>
      <x:c r="F49" s="34" t="n">
        <x:v>1289974</x:v>
      </x:c>
      <x:c r="G49" s="35" t="n">
        <x:f>IF(C49=0,0,F49/C49*B49)</x:f>
        <x:v>103.98457608814246</x:v>
      </x:c>
    </x:row>
    <x:row r="50">
      <x:c r="A50" s="33" t="str">
        <x:v>Guild Challenge</x:v>
      </x:c>
      <x:c r="B50" s="34" t="n">
        <x:v>17100</x:v>
      </x:c>
      <x:c r="C50" s="34" t="n">
        <x:v>212132955</x:v>
      </x:c>
      <x:c r="D50" s="34" t="n">
        <x:v>47</x:v>
      </x:c>
      <x:c r="E50" s="34" t="str">
        <x:v>Superpk</x:v>
      </x:c>
      <x:c r="F50" s="34" t="n">
        <x:v>1279067</x:v>
      </x:c>
      <x:c r="G50" s="35" t="n">
        <x:f>IF(C50=0,0,F50/C50*B50)</x:f>
        <x:v>103.10536474636862</x:v>
      </x:c>
    </x:row>
    <x:row r="51">
      <x:c r="A51" s="33" t="str">
        <x:v>Guild Challenge</x:v>
      </x:c>
      <x:c r="B51" s="34" t="n">
        <x:v>17100</x:v>
      </x:c>
      <x:c r="C51" s="34" t="n">
        <x:v>212132955</x:v>
      </x:c>
      <x:c r="D51" s="34" t="n">
        <x:v>48</x:v>
      </x:c>
      <x:c r="E51" s="34" t="str">
        <x:v>Temperamental</x:v>
      </x:c>
      <x:c r="F51" s="34" t="n">
        <x:v>1266632</x:v>
      </x:c>
      <x:c r="G51" s="35" t="n">
        <x:f>IF(C51=0,0,F51/C51*B51)</x:f>
        <x:v>102.10298159472676</x:v>
      </x:c>
    </x:row>
    <x:row r="52">
      <x:c r="A52" s="33" t="str">
        <x:v>Guild Challenge</x:v>
      </x:c>
      <x:c r="B52" s="34" t="n">
        <x:v>17100</x:v>
      </x:c>
      <x:c r="C52" s="34" t="n">
        <x:v>212132955</x:v>
      </x:c>
      <x:c r="D52" s="34" t="n">
        <x:v>49</x:v>
      </x:c>
      <x:c r="E52" s="34" t="str">
        <x:v>MineMim</x:v>
      </x:c>
      <x:c r="F52" s="34" t="n">
        <x:v>1257517</x:v>
      </x:c>
      <x:c r="G52" s="35" t="n">
        <x:f>IF(C52=0,0,F52/C52*B52)</x:f>
        <x:v>101.36822305614892</x:v>
      </x:c>
    </x:row>
    <x:row r="53">
      <x:c r="A53" s="33" t="str">
        <x:v>Guild Challenge</x:v>
      </x:c>
      <x:c r="B53" s="34" t="n">
        <x:v>17100</x:v>
      </x:c>
      <x:c r="C53" s="34" t="n">
        <x:v>212132955</x:v>
      </x:c>
      <x:c r="D53" s="34" t="n">
        <x:v>50</x:v>
      </x:c>
      <x:c r="E53" s="34" t="str">
        <x:v>Karz1N</x:v>
      </x:c>
      <x:c r="F53" s="34" t="n">
        <x:v>1218506</x:v>
      </x:c>
      <x:c r="G53" s="35" t="n">
        <x:f>IF(C53=0,0,F53/C53*B53)</x:f>
        <x:v>98.22355324282358</x:v>
      </x:c>
    </x:row>
    <x:row r="54">
      <x:c r="A54" s="33" t="str">
        <x:v>Guild Challenge</x:v>
      </x:c>
      <x:c r="B54" s="34" t="n">
        <x:v>17100</x:v>
      </x:c>
      <x:c r="C54" s="34" t="n">
        <x:v>212132955</x:v>
      </x:c>
      <x:c r="D54" s="34" t="n">
        <x:v>51</x:v>
      </x:c>
      <x:c r="E54" s="34" t="str">
        <x:v>VTracer</x:v>
      </x:c>
      <x:c r="F54" s="34" t="n">
        <x:v>1190988</x:v>
      </x:c>
      <x:c r="G54" s="35" t="n">
        <x:f>IF(C54=0,0,F54/C54*B54)</x:f>
        <x:v>96.00533212767436</x:v>
      </x:c>
    </x:row>
    <x:row r="55">
      <x:c r="A55" s="33" t="str">
        <x:v>Guild Challenge</x:v>
      </x:c>
      <x:c r="B55" s="34" t="n">
        <x:v>17100</x:v>
      </x:c>
      <x:c r="C55" s="34" t="n">
        <x:v>212132955</x:v>
      </x:c>
      <x:c r="D55" s="34" t="n">
        <x:v>52</x:v>
      </x:c>
      <x:c r="E55" s="34" t="str">
        <x:v>Soldier027</x:v>
      </x:c>
      <x:c r="F55" s="34" t="n">
        <x:v>1171640</x:v>
      </x:c>
      <x:c r="G55" s="35" t="n">
        <x:f>IF(C55=0,0,F55/C55*B55)</x:f>
        <x:v>94.4456932681676</x:v>
      </x:c>
    </x:row>
    <x:row r="56">
      <x:c r="A56" s="33" t="str">
        <x:v>Guild Challenge</x:v>
      </x:c>
      <x:c r="B56" s="34" t="n">
        <x:v>17100</x:v>
      </x:c>
      <x:c r="C56" s="34" t="n">
        <x:v>212132955</x:v>
      </x:c>
      <x:c r="D56" s="34" t="n">
        <x:v>53</x:v>
      </x:c>
      <x:c r="E56" s="34" t="str">
        <x:v>Amakv</x:v>
      </x:c>
      <x:c r="F56" s="34" t="n">
        <x:v>1160350</x:v>
      </x:c>
      <x:c r="G56" s="35" t="n">
        <x:f>IF(C56=0,0,F56/C56*B56)</x:f>
        <x:v>93.53560836410354</x:v>
      </x:c>
    </x:row>
    <x:row r="57">
      <x:c r="A57" s="33" t="str">
        <x:v>Guild Challenge</x:v>
      </x:c>
      <x:c r="B57" s="34" t="n">
        <x:v>17100</x:v>
      </x:c>
      <x:c r="C57" s="34" t="n">
        <x:v>212132955</x:v>
      </x:c>
      <x:c r="D57" s="34" t="n">
        <x:v>54</x:v>
      </x:c>
      <x:c r="E57" s="34" t="str">
        <x:v>Merlinavo</x:v>
      </x:c>
      <x:c r="F57" s="34" t="n">
        <x:v>1116632</x:v>
      </x:c>
      <x:c r="G57" s="35" t="n">
        <x:f>IF(C57=0,0,F57/C57*B57)</x:f>
        <x:v>90.01150811291909</x:v>
      </x:c>
    </x:row>
    <x:row r="58">
      <x:c r="A58" s="33" t="str">
        <x:v>Guild Challenge</x:v>
      </x:c>
      <x:c r="B58" s="34" t="n">
        <x:v>17100</x:v>
      </x:c>
      <x:c r="C58" s="34" t="n">
        <x:v>212132955</x:v>
      </x:c>
      <x:c r="D58" s="34" t="n">
        <x:v>55</x:v>
      </x:c>
      <x:c r="E58" s="34" t="str">
        <x:v>Lumen821</x:v>
      </x:c>
      <x:c r="F58" s="34" t="n">
        <x:v>1113516</x:v>
      </x:c>
      <x:c r="G58" s="35" t="n">
        <x:f>IF(C58=0,0,F58/C58*B58)</x:f>
        <x:v>89.76032790379034</x:v>
      </x:c>
    </x:row>
    <x:row r="59">
      <x:c r="A59" s="33" t="str">
        <x:v>Guild Challenge</x:v>
      </x:c>
      <x:c r="B59" s="34" t="n">
        <x:v>17100</x:v>
      </x:c>
      <x:c r="C59" s="34" t="n">
        <x:v>212132955</x:v>
      </x:c>
      <x:c r="D59" s="34" t="n">
        <x:v>56</x:v>
      </x:c>
      <x:c r="E59" s="34" t="str">
        <x:v>MARIOMALAN</x:v>
      </x:c>
      <x:c r="F59" s="34" t="n">
        <x:v>1083603</x:v>
      </x:c>
      <x:c r="G59" s="35" t="n">
        <x:f>IF(C59=0,0,F59/C59*B59)</x:f>
        <x:v>87.34904626204826</x:v>
      </x:c>
    </x:row>
    <x:row r="60">
      <x:c r="A60" s="33" t="str">
        <x:v>Guild Challenge</x:v>
      </x:c>
      <x:c r="B60" s="34" t="n">
        <x:v>17100</x:v>
      </x:c>
      <x:c r="C60" s="34" t="n">
        <x:v>212132955</x:v>
      </x:c>
      <x:c r="D60" s="34" t="n">
        <x:v>57</x:v>
      </x:c>
      <x:c r="E60" s="34" t="str">
        <x:v>Stresseed</x:v>
      </x:c>
      <x:c r="F60" s="34" t="n">
        <x:v>1082708</x:v>
      </x:c>
      <x:c r="G60" s="35" t="n">
        <x:f>IF(C60=0,0,F60/C60*B60)</x:f>
        <x:v>87.27690047027346</x:v>
      </x:c>
    </x:row>
    <x:row r="61">
      <x:c r="A61" s="33" t="str">
        <x:v>Guild Challenge</x:v>
      </x:c>
      <x:c r="B61" s="34" t="n">
        <x:v>17100</x:v>
      </x:c>
      <x:c r="C61" s="34" t="n">
        <x:v>212132955</x:v>
      </x:c>
      <x:c r="D61" s="34" t="n">
        <x:v>58</x:v>
      </x:c>
      <x:c r="E61" s="34" t="str">
        <x:v>zNeii</x:v>
      </x:c>
      <x:c r="F61" s="34" t="n">
        <x:v>1063029</x:v>
      </x:c>
      <x:c r="G61" s="35" t="n">
        <x:f>IF(C61=0,0,F61/C61*B61)</x:f>
        <x:v>85.69057975928352</x:v>
      </x:c>
    </x:row>
    <x:row r="62">
      <x:c r="A62" s="33" t="str">
        <x:v>Guild Challenge</x:v>
      </x:c>
      <x:c r="B62" s="34" t="n">
        <x:v>17100</x:v>
      </x:c>
      <x:c r="C62" s="34" t="n">
        <x:v>212132955</x:v>
      </x:c>
      <x:c r="D62" s="34" t="n">
        <x:v>59</x:v>
      </x:c>
      <x:c r="E62" s="34" t="str">
        <x:v>habibino</x:v>
      </x:c>
      <x:c r="F62" s="34" t="n">
        <x:v>1047873</x:v>
      </x:c>
      <x:c r="G62" s="35" t="n">
        <x:f>IF(C62=0,0,F62/C62*B62)</x:f>
        <x:v>84.46885727868167</x:v>
      </x:c>
    </x:row>
    <x:row r="63">
      <x:c r="A63" s="33" t="str">
        <x:v>Guild Challenge</x:v>
      </x:c>
      <x:c r="B63" s="34" t="n">
        <x:v>17100</x:v>
      </x:c>
      <x:c r="C63" s="34" t="n">
        <x:v>212132955</x:v>
      </x:c>
      <x:c r="D63" s="34" t="n">
        <x:v>60</x:v>
      </x:c>
      <x:c r="E63" s="34" t="str">
        <x:v>Djwd</x:v>
      </x:c>
      <x:c r="F63" s="34" t="n">
        <x:v>952748</x:v>
      </x:c>
      <x:c r="G63" s="35" t="n">
        <x:f>IF(C63=0,0,F63/C63*B63)</x:f>
        <x:v>76.8008478456353</x:v>
      </x:c>
    </x:row>
    <x:row r="64">
      <x:c r="A64" s="33" t="str">
        <x:v>Guild Challenge</x:v>
      </x:c>
      <x:c r="B64" s="34" t="n">
        <x:v>17100</x:v>
      </x:c>
      <x:c r="C64" s="34" t="n">
        <x:v>212132955</x:v>
      </x:c>
      <x:c r="D64" s="34" t="n">
        <x:v>61</x:v>
      </x:c>
      <x:c r="E64" s="34" t="str">
        <x:v>Yuangii</x:v>
      </x:c>
      <x:c r="F64" s="34" t="n">
        <x:v>915935</x:v>
      </x:c>
      <x:c r="G64" s="35" t="n">
        <x:f>IF(C64=0,0,F64/C64*B64)</x:f>
        <x:v>73.83335842373006</x:v>
      </x:c>
    </x:row>
    <x:row r="65">
      <x:c r="A65" s="33" t="str">
        <x:v>Guild Challenge</x:v>
      </x:c>
      <x:c r="B65" s="34" t="n">
        <x:v>17100</x:v>
      </x:c>
      <x:c r="C65" s="34" t="n">
        <x:v>212132955</x:v>
      </x:c>
      <x:c r="D65" s="34" t="n">
        <x:v>62</x:v>
      </x:c>
      <x:c r="E65" s="34" t="str">
        <x:v>A2ar</x:v>
      </x:c>
      <x:c r="F65" s="34" t="n">
        <x:v>883433</x:v>
      </x:c>
      <x:c r="G65" s="35" t="n">
        <x:f>IF(C65=0,0,F65/C65*B65)</x:f>
        <x:v>71.21337794969197</x:v>
      </x:c>
    </x:row>
    <x:row r="66">
      <x:c r="A66" s="33" t="str">
        <x:v>Guild Challenge</x:v>
      </x:c>
      <x:c r="B66" s="34" t="n">
        <x:v>17100</x:v>
      </x:c>
      <x:c r="C66" s="34" t="n">
        <x:v>212132955</x:v>
      </x:c>
      <x:c r="D66" s="34" t="n">
        <x:v>63</x:v>
      </x:c>
      <x:c r="E66" s="34" t="str">
        <x:v>BBob</x:v>
      </x:c>
      <x:c r="F66" s="34" t="n">
        <x:v>855425</x:v>
      </x:c>
      <x:c r="G66" s="35" t="n">
        <x:f>IF(C66=0,0,F66/C66*B66)</x:f>
        <x:v>68.95565802116886</x:v>
      </x:c>
    </x:row>
    <x:row r="67">
      <x:c r="A67" s="33" t="str">
        <x:v>Guild Challenge</x:v>
      </x:c>
      <x:c r="B67" s="34" t="n">
        <x:v>17100</x:v>
      </x:c>
      <x:c r="C67" s="34" t="n">
        <x:v>212132955</x:v>
      </x:c>
      <x:c r="D67" s="34" t="n">
        <x:v>64</x:v>
      </x:c>
      <x:c r="E67" s="34" t="str">
        <x:v>VnfaTI</x:v>
      </x:c>
      <x:c r="F67" s="34" t="n">
        <x:v>854240</x:v>
      </x:c>
      <x:c r="G67" s="35" t="n">
        <x:f>IF(C67=0,0,F67/C67*B67)</x:f>
        <x:v>68.86013538066256</x:v>
      </x:c>
    </x:row>
    <x:row r="68">
      <x:c r="A68" s="33" t="str">
        <x:v>Guild Challenge</x:v>
      </x:c>
      <x:c r="B68" s="34" t="n">
        <x:v>17100</x:v>
      </x:c>
      <x:c r="C68" s="34" t="n">
        <x:v>212132955</x:v>
      </x:c>
      <x:c r="D68" s="34" t="n">
        <x:v>65</x:v>
      </x:c>
      <x:c r="E68" s="34" t="str">
        <x:v>KABRITONHO</x:v>
      </x:c>
      <x:c r="F68" s="34" t="n">
        <x:v>850508</x:v>
      </x:c>
      <x:c r="G68" s="35" t="n">
        <x:f>IF(C68=0,0,F68/C68*B68)</x:f>
        <x:v>68.55929952043519</x:v>
      </x:c>
    </x:row>
    <x:row r="69">
      <x:c r="A69" s="33" t="str">
        <x:v>Guild Challenge</x:v>
      </x:c>
      <x:c r="B69" s="34" t="n">
        <x:v>17100</x:v>
      </x:c>
      <x:c r="C69" s="34" t="n">
        <x:v>212132955</x:v>
      </x:c>
      <x:c r="D69" s="34" t="n">
        <x:v>66</x:v>
      </x:c>
      <x:c r="E69" s="34" t="str">
        <x:v>YukitoRaiden</x:v>
      </x:c>
      <x:c r="F69" s="34" t="n">
        <x:v>837628</x:v>
      </x:c>
      <x:c r="G69" s="35" t="n">
        <x:f>IF(C69=0,0,F69/C69*B69)</x:f>
        <x:v>67.52104499746397</x:v>
      </x:c>
    </x:row>
    <x:row r="70">
      <x:c r="A70" s="33" t="str">
        <x:v>Guild Challenge</x:v>
      </x:c>
      <x:c r="B70" s="34" t="n">
        <x:v>17100</x:v>
      </x:c>
      <x:c r="C70" s="34" t="n">
        <x:v>212132955</x:v>
      </x:c>
      <x:c r="D70" s="34" t="n">
        <x:v>67</x:v>
      </x:c>
      <x:c r="E70" s="34" t="str">
        <x:v>Chuckzerah</x:v>
      </x:c>
      <x:c r="F70" s="34" t="n">
        <x:v>835144</x:v>
      </x:c>
      <x:c r="G70" s="35" t="n">
        <x:f>IF(C70=0,0,F70/C70*B70)</x:f>
        <x:v>67.32081019660524</x:v>
      </x:c>
    </x:row>
    <x:row r="71">
      <x:c r="A71" s="33" t="str">
        <x:v>Guild Challenge</x:v>
      </x:c>
      <x:c r="B71" s="34" t="n">
        <x:v>17100</x:v>
      </x:c>
      <x:c r="C71" s="34" t="n">
        <x:v>212132955</x:v>
      </x:c>
      <x:c r="D71" s="34" t="n">
        <x:v>68</x:v>
      </x:c>
      <x:c r="E71" s="34" t="str">
        <x:v>VULTO</x:v>
      </x:c>
      <x:c r="F71" s="34" t="n">
        <x:v>806378</x:v>
      </x:c>
      <x:c r="G71" s="35" t="n">
        <x:f>IF(C71=0,0,F71/C71*B71)</x:f>
        <x:v>65.00198802208737</x:v>
      </x:c>
    </x:row>
    <x:row r="72">
      <x:c r="A72" s="33" t="str">
        <x:v>Guild Challenge</x:v>
      </x:c>
      <x:c r="B72" s="34" t="n">
        <x:v>17100</x:v>
      </x:c>
      <x:c r="C72" s="34" t="n">
        <x:v>212132955</x:v>
      </x:c>
      <x:c r="D72" s="34" t="n">
        <x:v>69</x:v>
      </x:c>
      <x:c r="E72" s="34" t="str">
        <x:v>ImPetty</x:v>
      </x:c>
      <x:c r="F72" s="34" t="n">
        <x:v>776047</x:v>
      </x:c>
      <x:c r="G72" s="35" t="n">
        <x:f>IF(C72=0,0,F72/C72*B72)</x:f>
        <x:v>62.55701147424265</x:v>
      </x:c>
    </x:row>
    <x:row r="73">
      <x:c r="A73" s="33" t="str">
        <x:v>Guild Challenge</x:v>
      </x:c>
      <x:c r="B73" s="34" t="n">
        <x:v>17100</x:v>
      </x:c>
      <x:c r="C73" s="34" t="n">
        <x:v>212132955</x:v>
      </x:c>
      <x:c r="D73" s="34" t="n">
        <x:v>70</x:v>
      </x:c>
      <x:c r="E73" s="34" t="str">
        <x:v>Aradzin</x:v>
      </x:c>
      <x:c r="F73" s="34" t="n">
        <x:v>764229</x:v>
      </x:c>
      <x:c r="G73" s="35" t="n">
        <x:f>IF(C73=0,0,F73/C73*B73)</x:f>
        <x:v>61.60436458352263</x:v>
      </x:c>
    </x:row>
    <x:row r="74">
      <x:c r="A74" s="33" t="str">
        <x:v>Guild Challenge</x:v>
      </x:c>
      <x:c r="B74" s="34" t="n">
        <x:v>17100</x:v>
      </x:c>
      <x:c r="C74" s="34" t="n">
        <x:v>212132955</x:v>
      </x:c>
      <x:c r="D74" s="34" t="n">
        <x:v>71</x:v>
      </x:c>
      <x:c r="E74" s="34" t="str">
        <x:v>XIShanksXI</x:v>
      </x:c>
      <x:c r="F74" s="34" t="n">
        <x:v>754708</x:v>
      </x:c>
      <x:c r="G74" s="35" t="n">
        <x:f>IF(C74=0,0,F74/C74*B74)</x:f>
        <x:v>60.83687845672069</x:v>
      </x:c>
    </x:row>
    <x:row r="75">
      <x:c r="A75" s="33" t="str">
        <x:v>Guild Challenge</x:v>
      </x:c>
      <x:c r="B75" s="34" t="n">
        <x:v>17100</x:v>
      </x:c>
      <x:c r="C75" s="34" t="n">
        <x:v>212132955</x:v>
      </x:c>
      <x:c r="D75" s="34" t="n">
        <x:v>72</x:v>
      </x:c>
      <x:c r="E75" s="34" t="str">
        <x:v>Guislave</x:v>
      </x:c>
      <x:c r="F75" s="34" t="n">
        <x:v>720682</x:v>
      </x:c>
      <x:c r="G75" s="35" t="n">
        <x:f>IF(C75=0,0,F75/C75*B75)</x:f>
        <x:v>58.09404861210744</x:v>
      </x:c>
    </x:row>
    <x:row r="76">
      <x:c r="A76" s="33" t="str">
        <x:v>Guild Challenge</x:v>
      </x:c>
      <x:c r="B76" s="34" t="n">
        <x:v>17100</x:v>
      </x:c>
      <x:c r="C76" s="34" t="n">
        <x:v>212132955</x:v>
      </x:c>
      <x:c r="D76" s="34" t="n">
        <x:v>73</x:v>
      </x:c>
      <x:c r="E76" s="34" t="str">
        <x:v>MaxHardcore</x:v>
      </x:c>
      <x:c r="F76" s="34" t="n">
        <x:v>714262</x:v>
      </x:c>
      <x:c r="G76" s="35" t="n">
        <x:f>IF(C76=0,0,F76/C76*B76)</x:f>
        <x:v>57.57653354708607</x:v>
      </x:c>
    </x:row>
    <x:row r="77">
      <x:c r="A77" s="33" t="str">
        <x:v>Guild Challenge</x:v>
      </x:c>
      <x:c r="B77" s="34" t="n">
        <x:v>17100</x:v>
      </x:c>
      <x:c r="C77" s="34" t="n">
        <x:v>212132955</x:v>
      </x:c>
      <x:c r="D77" s="34" t="n">
        <x:v>74</x:v>
      </x:c>
      <x:c r="E77" s="34" t="str">
        <x:v>Grockyy</x:v>
      </x:c>
      <x:c r="F77" s="34" t="n">
        <x:v>711145</x:v>
      </x:c>
      <x:c r="G77" s="35" t="n">
        <x:f>IF(C77=0,0,F77/C77*B77)</x:f>
        <x:v>57.32527272813411</x:v>
      </x:c>
    </x:row>
    <x:row r="78">
      <x:c r="A78" s="33" t="str">
        <x:v>Guild Challenge</x:v>
      </x:c>
      <x:c r="B78" s="34" t="n">
        <x:v>17100</x:v>
      </x:c>
      <x:c r="C78" s="34" t="n">
        <x:v>212132955</x:v>
      </x:c>
      <x:c r="D78" s="34" t="n">
        <x:v>75</x:v>
      </x:c>
      <x:c r="E78" s="34" t="str">
        <x:v>Elga7id</x:v>
      </x:c>
      <x:c r="F78" s="34" t="n">
        <x:v>710765</x:v>
      </x:c>
      <x:c r="G78" s="35" t="n">
        <x:f>IF(C78=0,0,F78/C78*B78)</x:f>
        <x:v>57.29464099531353</x:v>
      </x:c>
    </x:row>
    <x:row r="79">
      <x:c r="A79" s="33" t="str">
        <x:v>Guild Challenge</x:v>
      </x:c>
      <x:c r="B79" s="34" t="n">
        <x:v>17100</x:v>
      </x:c>
      <x:c r="C79" s="34" t="n">
        <x:v>212132955</x:v>
      </x:c>
      <x:c r="D79" s="34" t="n">
        <x:v>76</x:v>
      </x:c>
      <x:c r="E79" s="34" t="str">
        <x:v>HolyGyat2324</x:v>
      </x:c>
      <x:c r="F79" s="34" t="n">
        <x:v>707456</x:v>
      </x:c>
      <x:c r="G79" s="35" t="n">
        <x:f>IF(C79=0,0,F79/C79*B79)</x:f>
        <x:v>57.027903090304854</x:v>
      </x:c>
    </x:row>
    <x:row r="80">
      <x:c r="A80" s="33" t="str">
        <x:v>Guild Challenge</x:v>
      </x:c>
      <x:c r="B80" s="34" t="n">
        <x:v>17100</x:v>
      </x:c>
      <x:c r="C80" s="34" t="n">
        <x:v>212132955</x:v>
      </x:c>
      <x:c r="D80" s="34" t="n">
        <x:v>77</x:v>
      </x:c>
      <x:c r="E80" s="34" t="str">
        <x:v>Rammstein</x:v>
      </x:c>
      <x:c r="F80" s="34" t="n">
        <x:v>681726</x:v>
      </x:c>
      <x:c r="G80" s="35" t="n">
        <x:f>IF(C80=0,0,F80/C80*B80)</x:f>
        <x:v>54.95381233905878</x:v>
      </x:c>
    </x:row>
    <x:row r="81">
      <x:c r="A81" s="33" t="str">
        <x:v>Guild Challenge</x:v>
      </x:c>
      <x:c r="B81" s="34" t="n">
        <x:v>17100</x:v>
      </x:c>
      <x:c r="C81" s="34" t="n">
        <x:v>212132955</x:v>
      </x:c>
      <x:c r="D81" s="34" t="n">
        <x:v>78</x:v>
      </x:c>
      <x:c r="E81" s="34" t="str">
        <x:v>MYLOLA262</x:v>
      </x:c>
      <x:c r="F81" s="34" t="n">
        <x:v>669313</x:v>
      </x:c>
      <x:c r="G81" s="35" t="n">
        <x:f>IF(C81=0,0,F81/C81*B81)</x:f>
        <x:v>53.95320260352758</x:v>
      </x:c>
    </x:row>
    <x:row r="82">
      <x:c r="A82" s="33" t="str">
        <x:v>Guild Challenge</x:v>
      </x:c>
      <x:c r="B82" s="34" t="n">
        <x:v>17100</x:v>
      </x:c>
      <x:c r="C82" s="34" t="n">
        <x:v>212132955</x:v>
      </x:c>
      <x:c r="D82" s="34" t="n">
        <x:v>79</x:v>
      </x:c>
      <x:c r="E82" s="34" t="str">
        <x:v>LORDJAPAA</x:v>
      </x:c>
      <x:c r="F82" s="34" t="n">
        <x:v>659536</x:v>
      </x:c>
      <x:c r="G82" s="35" t="n">
        <x:f>IF(C82=0,0,F82/C82*B82)</x:f>
        <x:v>53.16508036198336</x:v>
      </x:c>
    </x:row>
    <x:row r="83">
      <x:c r="A83" s="33" t="str">
        <x:v>Guild Challenge</x:v>
      </x:c>
      <x:c r="B83" s="34" t="n">
        <x:v>17100</x:v>
      </x:c>
      <x:c r="C83" s="34" t="n">
        <x:v>212132955</x:v>
      </x:c>
      <x:c r="D83" s="34" t="n">
        <x:v>80</x:v>
      </x:c>
      <x:c r="E83" s="34" t="str">
        <x:v>okiteKomi</x:v>
      </x:c>
      <x:c r="F83" s="34" t="n">
        <x:v>623662</x:v>
      </x:c>
      <x:c r="G83" s="35" t="n">
        <x:f>IF(C83=0,0,F83/C83*B83)</x:f>
        <x:v>50.273283564074234</x:v>
      </x:c>
    </x:row>
    <x:row r="84">
      <x:c r="A84" s="33" t="str">
        <x:v>Guild Challenge</x:v>
      </x:c>
      <x:c r="B84" s="34" t="n">
        <x:v>17100</x:v>
      </x:c>
      <x:c r="C84" s="34" t="n">
        <x:v>212132955</x:v>
      </x:c>
      <x:c r="D84" s="34" t="n">
        <x:v>81</x:v>
      </x:c>
      <x:c r="E84" s="34" t="str">
        <x:v>Davimix</x:v>
      </x:c>
      <x:c r="F84" s="34" t="n">
        <x:v>578112</x:v>
      </x:c>
      <x:c r="G84" s="35" t="n">
        <x:f>IF(C84=0,0,F84/C84*B84)</x:f>
        <x:v>46.601506116765314</x:v>
      </x:c>
    </x:row>
    <x:row r="85">
      <x:c r="A85" s="33" t="str">
        <x:v>Guild Challenge</x:v>
      </x:c>
      <x:c r="B85" s="34" t="n">
        <x:v>17100</x:v>
      </x:c>
      <x:c r="C85" s="34" t="n">
        <x:v>212132955</x:v>
      </x:c>
      <x:c r="D85" s="34" t="n">
        <x:v>82</x:v>
      </x:c>
      <x:c r="E85" s="34" t="str">
        <x:v>MachoAlpha</x:v>
      </x:c>
      <x:c r="F85" s="34" t="n">
        <x:v>572024</x:v>
      </x:c>
      <x:c r="G85" s="35" t="n">
        <x:f>IF(C85=0,0,F85/C85*B85)</x:f>
        <x:v>46.11075351305034</x:v>
      </x:c>
    </x:row>
    <x:row r="86">
      <x:c r="A86" s="33" t="str">
        <x:v>Guild Challenge</x:v>
      </x:c>
      <x:c r="B86" s="34" t="n">
        <x:v>17100</x:v>
      </x:c>
      <x:c r="C86" s="34" t="n">
        <x:v>212132955</x:v>
      </x:c>
      <x:c r="D86" s="34" t="n">
        <x:v>83</x:v>
      </x:c>
      <x:c r="E86" s="34" t="str">
        <x:v>LuiziN</x:v>
      </x:c>
      <x:c r="F86" s="34" t="n">
        <x:v>552596</x:v>
      </x:c>
      <x:c r="G86" s="35" t="n">
        <x:f>IF(C86=0,0,F86/C86*B86)</x:f>
        <x:v>44.54466586768661</x:v>
      </x:c>
    </x:row>
    <x:row r="87">
      <x:c r="A87" s="33" t="str">
        <x:v>Guild Challenge</x:v>
      </x:c>
      <x:c r="B87" s="34" t="n">
        <x:v>17100</x:v>
      </x:c>
      <x:c r="C87" s="34" t="n">
        <x:v>212132955</x:v>
      </x:c>
      <x:c r="D87" s="34" t="n">
        <x:v>84</x:v>
      </x:c>
      <x:c r="E87" s="34" t="str">
        <x:v>Jabiroca1</x:v>
      </x:c>
      <x:c r="F87" s="34" t="n">
        <x:v>532787</x:v>
      </x:c>
      <x:c r="G87" s="35" t="n">
        <x:f>IF(C87=0,0,F87/C87*B87)</x:f>
        <x:v>42.94786587967909</x:v>
      </x:c>
    </x:row>
    <x:row r="88">
      <x:c r="A88" s="33" t="str">
        <x:v>Guild Challenge</x:v>
      </x:c>
      <x:c r="B88" s="34" t="n">
        <x:v>17100</x:v>
      </x:c>
      <x:c r="C88" s="34" t="n">
        <x:v>212132955</x:v>
      </x:c>
      <x:c r="D88" s="34" t="n">
        <x:v>85</x:v>
      </x:c>
      <x:c r="E88" s="34" t="str">
        <x:v>morrty</x:v>
      </x:c>
      <x:c r="F88" s="34" t="n">
        <x:v>517580</x:v>
      </x:c>
      <x:c r="G88" s="35" t="n">
        <x:f>IF(C88=0,0,F88/C88*B88)</x:f>
        <x:v>41.722032298093424</x:v>
      </x:c>
    </x:row>
    <x:row r="89">
      <x:c r="A89" s="33" t="str">
        <x:v>Guild Challenge</x:v>
      </x:c>
      <x:c r="B89" s="34" t="n">
        <x:v>17100</x:v>
      </x:c>
      <x:c r="C89" s="34" t="n">
        <x:v>212132955</x:v>
      </x:c>
      <x:c r="D89" s="34" t="n">
        <x:v>86</x:v>
      </x:c>
      <x:c r="E89" s="34" t="str">
        <x:v>OlhaOPassarinho</x:v>
      </x:c>
      <x:c r="F89" s="34" t="n">
        <x:v>504379</x:v>
      </x:c>
      <x:c r="G89" s="35" t="n">
        <x:f>IF(C89=0,0,F89/C89*B89)</x:f>
        <x:v>40.657902021871145</x:v>
      </x:c>
    </x:row>
    <x:row r="90">
      <x:c r="A90" s="33" t="str">
        <x:v>Guild Challenge</x:v>
      </x:c>
      <x:c r="B90" s="34" t="n">
        <x:v>17100</x:v>
      </x:c>
      <x:c r="C90" s="34" t="n">
        <x:v>212132955</x:v>
      </x:c>
      <x:c r="D90" s="34" t="n">
        <x:v>87</x:v>
      </x:c>
      <x:c r="E90" s="34" t="str">
        <x:v>SuSex</x:v>
      </x:c>
      <x:c r="F90" s="34" t="n">
        <x:v>501599</x:v>
      </x:c>
      <x:c r="G90" s="35" t="n">
        <x:f>IF(C90=0,0,F90/C90*B90)</x:f>
        <x:v>40.43380671334164</x:v>
      </x:c>
    </x:row>
    <x:row r="91">
      <x:c r="A91" s="33" t="str">
        <x:v>Guild Challenge</x:v>
      </x:c>
      <x:c r="B91" s="34" t="n">
        <x:v>17100</x:v>
      </x:c>
      <x:c r="C91" s="34" t="n">
        <x:v>212132955</x:v>
      </x:c>
      <x:c r="D91" s="34" t="n">
        <x:v>88</x:v>
      </x:c>
      <x:c r="E91" s="34" t="str">
        <x:v>RVZZ24</x:v>
      </x:c>
      <x:c r="F91" s="34" t="n">
        <x:v>500629</x:v>
      </x:c>
      <x:c r="G91" s="35" t="n">
        <x:f>IF(C91=0,0,F91/C91*B91)</x:f>
        <x:v>40.35561518482595</x:v>
      </x:c>
    </x:row>
    <x:row r="92">
      <x:c r="A92" s="33" t="str">
        <x:v>Guild Challenge</x:v>
      </x:c>
      <x:c r="B92" s="34" t="n">
        <x:v>17100</x:v>
      </x:c>
      <x:c r="C92" s="34" t="n">
        <x:v>212132955</x:v>
      </x:c>
      <x:c r="D92" s="34" t="n">
        <x:v>89</x:v>
      </x:c>
      <x:c r="E92" s="34" t="str">
        <x:v>Kuntakint</x:v>
      </x:c>
      <x:c r="F92" s="34" t="n">
        <x:v>477518</x:v>
      </x:c>
      <x:c r="G92" s="35" t="n">
        <x:f>IF(C92=0,0,F92/C92*B92)</x:f>
        <x:v>38.49264156057224</x:v>
      </x:c>
    </x:row>
    <x:row r="93">
      <x:c r="A93" s="33" t="str">
        <x:v>Guild Challenge</x:v>
      </x:c>
      <x:c r="B93" s="34" t="n">
        <x:v>17100</x:v>
      </x:c>
      <x:c r="C93" s="34" t="n">
        <x:v>212132955</x:v>
      </x:c>
      <x:c r="D93" s="34" t="n">
        <x:v>90</x:v>
      </x:c>
      <x:c r="E93" s="34" t="str">
        <x:v>ChicaoCowboy</x:v>
      </x:c>
      <x:c r="F93" s="34" t="n">
        <x:v>470514</x:v>
      </x:c>
      <x:c r="G93" s="35" t="n">
        <x:f>IF(C93=0,0,F93/C93*B93)</x:f>
        <x:v>37.928050358795026</x:v>
      </x:c>
    </x:row>
    <x:row r="94">
      <x:c r="A94" s="33" t="str">
        <x:v>Guild Challenge</x:v>
      </x:c>
      <x:c r="B94" s="34" t="n">
        <x:v>17100</x:v>
      </x:c>
      <x:c r="C94" s="34" t="n">
        <x:v>212132955</x:v>
      </x:c>
      <x:c r="D94" s="34" t="n">
        <x:v>91</x:v>
      </x:c>
      <x:c r="E94" s="34" t="str">
        <x:v>3YS4N</x:v>
      </x:c>
      <x:c r="F94" s="34" t="n">
        <x:v>468173</x:v>
      </x:c>
      <x:c r="G94" s="35" t="n">
        <x:f>IF(C94=0,0,F94/C94*B94)</x:f>
        <x:v>37.73934276265562</x:v>
      </x:c>
    </x:row>
    <x:row r="95">
      <x:c r="A95" s="33" t="str">
        <x:v>Guild Challenge</x:v>
      </x:c>
      <x:c r="B95" s="34" t="n">
        <x:v>17100</x:v>
      </x:c>
      <x:c r="C95" s="34" t="n">
        <x:v>212132955</x:v>
      </x:c>
      <x:c r="D95" s="34" t="n">
        <x:v>92</x:v>
      </x:c>
      <x:c r="E95" s="34" t="str">
        <x:v>MRBrutu</x:v>
      </x:c>
      <x:c r="F95" s="34" t="n">
        <x:v>443603</x:v>
      </x:c>
      <x:c r="G95" s="35" t="n">
        <x:f>IF(C95=0,0,F95/C95*B95)</x:f>
        <x:v>35.75875940633552</x:v>
      </x:c>
    </x:row>
    <x:row r="96">
      <x:c r="A96" s="33" t="str">
        <x:v>Guild Challenge</x:v>
      </x:c>
      <x:c r="B96" s="34" t="n">
        <x:v>17100</x:v>
      </x:c>
      <x:c r="C96" s="34" t="n">
        <x:v>212132955</x:v>
      </x:c>
      <x:c r="D96" s="34" t="n">
        <x:v>93</x:v>
      </x:c>
      <x:c r="E96" s="34" t="str">
        <x:v>Nery</x:v>
      </x:c>
      <x:c r="F96" s="34" t="n">
        <x:v>423813</x:v>
      </x:c>
      <x:c r="G96" s="35" t="n">
        <x:f>IF(C96=0,0,F96/C96*B96)</x:f>
        <x:v>34.163491004969025</x:v>
      </x:c>
    </x:row>
    <x:row r="97">
      <x:c r="A97" s="33" t="str">
        <x:v>Guild Challenge</x:v>
      </x:c>
      <x:c r="B97" s="34" t="n">
        <x:v>17100</x:v>
      </x:c>
      <x:c r="C97" s="34" t="n">
        <x:v>212132955</x:v>
      </x:c>
      <x:c r="D97" s="34" t="n">
        <x:v>94</x:v>
      </x:c>
      <x:c r="E97" s="34" t="str">
        <x:v>MonetaryMike</x:v>
      </x:c>
      <x:c r="F97" s="34" t="n">
        <x:v>417562</x:v>
      </x:c>
      <x:c r="G97" s="35" t="n">
        <x:f>IF(C97=0,0,F97/C97*B97)</x:f>
        <x:v>33.6595990000705</x:v>
      </x:c>
    </x:row>
    <x:row r="98">
      <x:c r="A98" s="33" t="str">
        <x:v>Guild Challenge</x:v>
      </x:c>
      <x:c r="B98" s="34" t="n">
        <x:v>17100</x:v>
      </x:c>
      <x:c r="C98" s="34" t="n">
        <x:v>212132955</x:v>
      </x:c>
      <x:c r="D98" s="34" t="n">
        <x:v>95</x:v>
      </x:c>
      <x:c r="E98" s="34" t="str">
        <x:v>WarlockLord</x:v>
      </x:c>
      <x:c r="F98" s="34" t="n">
        <x:v>412412</x:v>
      </x:c>
      <x:c r="G98" s="35" t="n">
        <x:f>IF(C98=0,0,F98/C98*B98)</x:f>
        <x:v>33.24445841052843</x:v>
      </x:c>
    </x:row>
    <x:row r="99">
      <x:c r="A99" s="33" t="str">
        <x:v>Guild Challenge</x:v>
      </x:c>
      <x:c r="B99" s="34" t="n">
        <x:v>17100</x:v>
      </x:c>
      <x:c r="C99" s="34" t="n">
        <x:v>212132955</x:v>
      </x:c>
      <x:c r="D99" s="34" t="n">
        <x:v>96</x:v>
      </x:c>
      <x:c r="E99" s="34" t="str">
        <x:v>vadisley</x:v>
      </x:c>
      <x:c r="F99" s="34" t="n">
        <x:v>389888</x:v>
      </x:c>
      <x:c r="G99" s="35" t="n">
        <x:f>IF(C99=0,0,F99/C99*B99)</x:f>
        <x:v>31.428802752500193</x:v>
      </x:c>
    </x:row>
    <x:row r="100">
      <x:c r="A100" s="33" t="str">
        <x:v>Guild Challenge</x:v>
      </x:c>
      <x:c r="B100" s="34" t="n">
        <x:v>17100</x:v>
      </x:c>
      <x:c r="C100" s="34" t="n">
        <x:v>212132955</x:v>
      </x:c>
      <x:c r="D100" s="34" t="n">
        <x:v>97</x:v>
      </x:c>
      <x:c r="E100" s="34" t="str">
        <x:v>xVenon</x:v>
      </x:c>
      <x:c r="F100" s="34" t="n">
        <x:v>378714</x:v>
      </x:c>
      <x:c r="G100" s="35" t="n">
        <x:f>IF(C100=0,0,F100/C100*B100)</x:f>
        <x:v>30.528068587928736</x:v>
      </x:c>
    </x:row>
    <x:row r="101">
      <x:c r="A101" s="33" t="str">
        <x:v>Guild Challenge</x:v>
      </x:c>
      <x:c r="B101" s="34" t="n">
        <x:v>17100</x:v>
      </x:c>
      <x:c r="C101" s="34" t="n">
        <x:v>212132955</x:v>
      </x:c>
      <x:c r="D101" s="34" t="n">
        <x:v>98</x:v>
      </x:c>
      <x:c r="E101" s="34" t="str">
        <x:v>Sum0l</x:v>
      </x:c>
      <x:c r="F101" s="34" t="n">
        <x:v>366559</x:v>
      </x:c>
      <x:c r="G101" s="35" t="n">
        <x:f>IF(C101=0,0,F101/C101*B101)</x:f>
        <x:v>29.548256186786254</x:v>
      </x:c>
    </x:row>
    <x:row r="102">
      <x:c r="A102" s="33" t="str">
        <x:v>Guild Challenge</x:v>
      </x:c>
      <x:c r="B102" s="34" t="n">
        <x:v>17100</x:v>
      </x:c>
      <x:c r="C102" s="34" t="n">
        <x:v>212132955</x:v>
      </x:c>
      <x:c r="D102" s="34" t="n">
        <x:v>99</x:v>
      </x:c>
      <x:c r="E102" s="34" t="str">
        <x:v>RullinSKILL</x:v>
      </x:c>
      <x:c r="F102" s="34" t="n">
        <x:v>342708</x:v>
      </x:c>
      <x:c r="G102" s="35" t="n">
        <x:f>IF(C102=0,0,F102/C102*B102)</x:f>
        <x:v>27.62563129335562</x:v>
      </x:c>
    </x:row>
    <x:row r="103">
      <x:c r="A103" s="33" t="str">
        <x:v>Guild Challenge</x:v>
      </x:c>
      <x:c r="B103" s="34" t="n">
        <x:v>17100</x:v>
      </x:c>
      <x:c r="C103" s="34" t="n">
        <x:v>212132955</x:v>
      </x:c>
      <x:c r="D103" s="34" t="n">
        <x:v>100</x:v>
      </x:c>
      <x:c r="E103" s="34" t="str">
        <x:v>Xakalzin</x:v>
      </x:c>
      <x:c r="F103" s="34" t="n">
        <x:v>322577</x:v>
      </x:c>
      <x:c r="G103" s="35" t="n">
        <x:f>IF(C103=0,0,F103/C103*B103)</x:f>
        <x:v>26.00287494227382</x:v>
      </x:c>
    </x:row>
    <x:row r="104">
      <x:c r="A104" s="33" t="str">
        <x:v>Guild Challenge</x:v>
      </x:c>
      <x:c r="B104" s="34" t="n">
        <x:v>17100</x:v>
      </x:c>
      <x:c r="C104" s="34" t="n">
        <x:v>212132955</x:v>
      </x:c>
      <x:c r="D104" s="34" t="n">
        <x:v>101</x:v>
      </x:c>
      <x:c r="E104" s="34" t="str">
        <x:v>Pevida</x:v>
      </x:c>
      <x:c r="F104" s="34" t="n">
        <x:v>320952</x:v>
      </x:c>
      <x:c r="G104" s="35" t="n">
        <x:f>IF(C104=0,0,F104/C104*B104)</x:f>
        <x:v>25.871883979554237</x:v>
      </x:c>
    </x:row>
    <x:row r="105">
      <x:c r="A105" s="33" t="str">
        <x:v>Guild Challenge</x:v>
      </x:c>
      <x:c r="B105" s="34" t="n">
        <x:v>17100</x:v>
      </x:c>
      <x:c r="C105" s="34" t="n">
        <x:v>212132955</x:v>
      </x:c>
      <x:c r="D105" s="34" t="n">
        <x:v>102</x:v>
      </x:c>
      <x:c r="E105" s="34" t="str">
        <x:v>Hachixi</x:v>
      </x:c>
      <x:c r="F105" s="34" t="n">
        <x:v>320329</x:v>
      </x:c>
      <x:c r="G105" s="35" t="n">
        <x:f>IF(C105=0,0,F105/C105*B105)</x:f>
        <x:v>25.82166405969313</x:v>
      </x:c>
    </x:row>
    <x:row r="106">
      <x:c r="A106" s="33" t="str">
        <x:v>Guild Challenge</x:v>
      </x:c>
      <x:c r="B106" s="34" t="n">
        <x:v>17100</x:v>
      </x:c>
      <x:c r="C106" s="34" t="n">
        <x:v>212132955</x:v>
      </x:c>
      <x:c r="D106" s="34" t="n">
        <x:v>103</x:v>
      </x:c>
      <x:c r="E106" s="34" t="str">
        <x:v>KatarinasemC</x:v>
      </x:c>
      <x:c r="F106" s="34" t="n">
        <x:v>314238</x:v>
      </x:c>
      <x:c r="G106" s="35" t="n">
        <x:f>IF(C106=0,0,F106/C106*B106)</x:f>
        <x:v>25.330669626508527</x:v>
      </x:c>
    </x:row>
    <x:row r="107">
      <x:c r="A107" s="33" t="str">
        <x:v>Guild Challenge</x:v>
      </x:c>
      <x:c r="B107" s="34" t="n">
        <x:v>17100</x:v>
      </x:c>
      <x:c r="C107" s="34" t="n">
        <x:v>212132955</x:v>
      </x:c>
      <x:c r="D107" s="34" t="n">
        <x:v>104</x:v>
      </x:c>
      <x:c r="E107" s="34" t="str">
        <x:v>julszthaone</x:v>
      </x:c>
      <x:c r="F107" s="34" t="n">
        <x:v>312298</x:v>
      </x:c>
      <x:c r="G107" s="35" t="n">
        <x:f>IF(C107=0,0,F107/C107*B107)</x:f>
        <x:v>25.174286569477147</x:v>
      </x:c>
    </x:row>
    <x:row r="108">
      <x:c r="A108" s="33" t="str">
        <x:v>Guild Challenge</x:v>
      </x:c>
      <x:c r="B108" s="34" t="n">
        <x:v>17100</x:v>
      </x:c>
      <x:c r="C108" s="34" t="n">
        <x:v>212132955</x:v>
      </x:c>
      <x:c r="D108" s="34" t="n">
        <x:v>105</x:v>
      </x:c>
      <x:c r="E108" s="34" t="str">
        <x:v>SeuDanadoo</x:v>
      </x:c>
      <x:c r="F108" s="34" t="n">
        <x:v>309534</x:v>
      </x:c>
      <x:c r="G108" s="35" t="n">
        <x:f>IF(C108=0,0,F108/C108*B108)</x:f>
        <x:v>24.951481018119036</x:v>
      </x:c>
    </x:row>
    <x:row r="109">
      <x:c r="A109" s="33" t="str">
        <x:v>Guild Challenge</x:v>
      </x:c>
      <x:c r="B109" s="34" t="n">
        <x:v>17100</x:v>
      </x:c>
      <x:c r="C109" s="34" t="n">
        <x:v>212132955</x:v>
      </x:c>
      <x:c r="D109" s="34" t="n">
        <x:v>106</x:v>
      </x:c>
      <x:c r="E109" s="34" t="str">
        <x:v>IPPON</x:v>
      </x:c>
      <x:c r="F109" s="34" t="n">
        <x:v>307793</x:v>
      </x:c>
      <x:c r="G109" s="35" t="n">
        <x:f>IF(C109=0,0,F109/C109*B109)</x:f>
        <x:v>24.811139315906857</x:v>
      </x:c>
    </x:row>
    <x:row r="110">
      <x:c r="A110" s="33" t="str">
        <x:v>Guild Challenge</x:v>
      </x:c>
      <x:c r="B110" s="34" t="n">
        <x:v>17100</x:v>
      </x:c>
      <x:c r="C110" s="34" t="n">
        <x:v>212132955</x:v>
      </x:c>
      <x:c r="D110" s="34" t="n">
        <x:v>107</x:v>
      </x:c>
      <x:c r="E110" s="34" t="str">
        <x:v>MissyPT</x:v>
      </x:c>
      <x:c r="F110" s="34" t="n">
        <x:v>293934</x:v>
      </x:c>
      <x:c r="G110" s="35" t="n">
        <x:f>IF(C110=0,0,F110/C110*B110)</x:f>
        <x:v>23.693967776011043</x:v>
      </x:c>
    </x:row>
    <x:row r="111">
      <x:c r="A111" s="33" t="str">
        <x:v>Guild Challenge</x:v>
      </x:c>
      <x:c r="B111" s="34" t="n">
        <x:v>17100</x:v>
      </x:c>
      <x:c r="C111" s="34" t="n">
        <x:v>212132955</x:v>
      </x:c>
      <x:c r="D111" s="34" t="n">
        <x:v>108</x:v>
      </x:c>
      <x:c r="E111" s="34" t="str">
        <x:v>NamikazePT</x:v>
      </x:c>
      <x:c r="F111" s="34" t="n">
        <x:v>293328</x:v>
      </x:c>
      <x:c r="G111" s="35" t="n">
        <x:f>IF(C111=0,0,F111/C111*B111)</x:f>
        <x:v>23.645118223144536</x:v>
      </x:c>
    </x:row>
    <x:row r="112">
      <x:c r="A112" s="33" t="str">
        <x:v>Guild Challenge</x:v>
      </x:c>
      <x:c r="B112" s="34" t="n">
        <x:v>17100</x:v>
      </x:c>
      <x:c r="C112" s="34" t="n">
        <x:v>212132955</x:v>
      </x:c>
      <x:c r="D112" s="34" t="n">
        <x:v>109</x:v>
      </x:c>
      <x:c r="E112" s="34" t="str">
        <x:v>AnjoThall</x:v>
      </x:c>
      <x:c r="F112" s="34" t="n">
        <x:v>291105</x:v>
      </x:c>
      <x:c r="G112" s="35" t="n">
        <x:f>IF(C112=0,0,F112/C112*B112)</x:f>
        <x:v>23.465922586144146</x:v>
      </x:c>
    </x:row>
    <x:row r="113">
      <x:c r="A113" s="33" t="str">
        <x:v>Guild Challenge</x:v>
      </x:c>
      <x:c r="B113" s="34" t="n">
        <x:v>17100</x:v>
      </x:c>
      <x:c r="C113" s="34" t="n">
        <x:v>212132955</x:v>
      </x:c>
      <x:c r="D113" s="34" t="n">
        <x:v>110</x:v>
      </x:c>
      <x:c r="E113" s="34" t="str">
        <x:v>zBrunooHD</x:v>
      </x:c>
      <x:c r="F113" s="34" t="n">
        <x:v>285286</x:v>
      </x:c>
      <x:c r="G113" s="35" t="n">
        <x:f>IF(C113=0,0,F113/C113*B113)</x:f>
        <x:v>22.996854024873222</x:v>
      </x:c>
    </x:row>
    <x:row r="114">
      <x:c r="A114" s="33" t="str">
        <x:v>Guild Challenge</x:v>
      </x:c>
      <x:c r="B114" s="34" t="n">
        <x:v>17100</x:v>
      </x:c>
      <x:c r="C114" s="34" t="n">
        <x:v>212132955</x:v>
      </x:c>
      <x:c r="D114" s="34" t="n">
        <x:v>111</x:v>
      </x:c>
      <x:c r="E114" s="34" t="str">
        <x:v>1NightReaperLWY</x:v>
      </x:c>
      <x:c r="F114" s="34" t="n">
        <x:v>284396</x:v>
      </x:c>
      <x:c r="G114" s="35" t="n">
        <x:f>IF(C114=0,0,F114/C114*B114)</x:f>
        <x:v>22.925111282214495</x:v>
      </x:c>
    </x:row>
    <x:row r="115">
      <x:c r="A115" s="33" t="str">
        <x:v>Guild Challenge</x:v>
      </x:c>
      <x:c r="B115" s="34" t="n">
        <x:v>17100</x:v>
      </x:c>
      <x:c r="C115" s="34" t="n">
        <x:v>212132955</x:v>
      </x:c>
      <x:c r="D115" s="34" t="n">
        <x:v>112</x:v>
      </x:c>
      <x:c r="E115" s="34" t="str">
        <x:v>Tuga95</x:v>
      </x:c>
      <x:c r="F115" s="34" t="n">
        <x:v>268764</x:v>
      </x:c>
      <x:c r="G115" s="35" t="n">
        <x:f>IF(C115=0,0,F115/C115*B115)</x:f>
        <x:v>21.665018525763713</x:v>
      </x:c>
    </x:row>
    <x:row r="116">
      <x:c r="A116" s="33" t="str">
        <x:v>Guild Challenge</x:v>
      </x:c>
      <x:c r="B116" s="34" t="n">
        <x:v>17100</x:v>
      </x:c>
      <x:c r="C116" s="34" t="n">
        <x:v>212132955</x:v>
      </x:c>
      <x:c r="D116" s="34" t="n">
        <x:v>113</x:v>
      </x:c>
      <x:c r="E116" s="34" t="str">
        <x:v>BrunoAnulino</x:v>
      </x:c>
      <x:c r="F116" s="34" t="n">
        <x:v>266627</x:v>
      </x:c>
      <x:c r="G116" s="35" t="n">
        <x:f>IF(C116=0,0,F116/C116*B116)</x:f>
        <x:v>21.49275533355956</x:v>
      </x:c>
    </x:row>
    <x:row r="117">
      <x:c r="A117" s="33" t="str">
        <x:v>Guild Challenge</x:v>
      </x:c>
      <x:c r="B117" s="34" t="n">
        <x:v>17100</x:v>
      </x:c>
      <x:c r="C117" s="34" t="n">
        <x:v>212132955</x:v>
      </x:c>
      <x:c r="D117" s="34" t="n">
        <x:v>114</x:v>
      </x:c>
      <x:c r="E117" s="34" t="str">
        <x:v>MaCiRoSKi</x:v>
      </x:c>
      <x:c r="F117" s="34" t="n">
        <x:v>246407</x:v>
      </x:c>
      <x:c r="G117" s="35" t="n">
        <x:f>IF(C117=0,0,F117/C117*B117)</x:f>
        <x:v>19.862824708211885</x:v>
      </x:c>
    </x:row>
    <x:row r="118">
      <x:c r="A118" s="33" t="str">
        <x:v>Guild Challenge</x:v>
      </x:c>
      <x:c r="B118" s="34" t="n">
        <x:v>17100</x:v>
      </x:c>
      <x:c r="C118" s="34" t="n">
        <x:v>212132955</x:v>
      </x:c>
      <x:c r="D118" s="34" t="n">
        <x:v>115</x:v>
      </x:c>
      <x:c r="E118" s="34" t="str">
        <x:v>RodriRowanShade</x:v>
      </x:c>
      <x:c r="F118" s="34" t="n">
        <x:v>246005</x:v>
      </x:c>
      <x:c r="G118" s="35" t="n">
        <x:f>IF(C118=0,0,F118/C118*B118)</x:f>
        <x:v>19.830419559280642</x:v>
      </x:c>
    </x:row>
    <x:row r="119">
      <x:c r="A119" s="33" t="str">
        <x:v>Guild Challenge</x:v>
      </x:c>
      <x:c r="B119" s="34" t="n">
        <x:v>17100</x:v>
      </x:c>
      <x:c r="C119" s="34" t="n">
        <x:v>212132955</x:v>
      </x:c>
      <x:c r="D119" s="34" t="n">
        <x:v>116</x:v>
      </x:c>
      <x:c r="E119" s="34" t="str">
        <x:v>EBMonarca</x:v>
      </x:c>
      <x:c r="F119" s="34" t="n">
        <x:v>245239</x:v>
      </x:c>
      <x:c r="G119" s="35" t="n">
        <x:f>IF(C119=0,0,F119/C119*B119)</x:f>
        <x:v>19.768672434700207</x:v>
      </x:c>
    </x:row>
    <x:row r="120">
      <x:c r="A120" s="33" t="str">
        <x:v>Guild Challenge</x:v>
      </x:c>
      <x:c r="B120" s="34" t="n">
        <x:v>17100</x:v>
      </x:c>
      <x:c r="C120" s="34" t="n">
        <x:v>212132955</x:v>
      </x:c>
      <x:c r="D120" s="34" t="n">
        <x:v>117</x:v>
      </x:c>
      <x:c r="E120" s="34" t="str">
        <x:v>TOTOYBATO</x:v>
      </x:c>
      <x:c r="F120" s="34" t="n">
        <x:v>240899</x:v>
      </x:c>
      <x:c r="G120" s="35" t="n">
        <x:f>IF(C120=0,0,F120/C120*B120)</x:f>
        <x:v>19.41882580195991</x:v>
      </x:c>
    </x:row>
    <x:row r="121">
      <x:c r="A121" s="33" t="str">
        <x:v>Guild Challenge</x:v>
      </x:c>
      <x:c r="B121" s="34" t="n">
        <x:v>17100</x:v>
      </x:c>
      <x:c r="C121" s="34" t="n">
        <x:v>212132955</x:v>
      </x:c>
      <x:c r="D121" s="34" t="n">
        <x:v>118</x:v>
      </x:c>
      <x:c r="E121" s="34" t="str">
        <x:v>ROLEPLAY</x:v>
      </x:c>
      <x:c r="F121" s="34" t="n">
        <x:v>232789</x:v>
      </x:c>
      <x:c r="G121" s="35" t="n">
        <x:f>IF(C121=0,0,F121/C121*B121)</x:f>
        <x:v>18.765080135710175</x:v>
      </x:c>
    </x:row>
    <x:row r="122">
      <x:c r="A122" s="33" t="str">
        <x:v>Guild Challenge</x:v>
      </x:c>
      <x:c r="B122" s="34" t="n">
        <x:v>17100</x:v>
      </x:c>
      <x:c r="C122" s="34" t="n">
        <x:v>212132955</x:v>
      </x:c>
      <x:c r="D122" s="34" t="n">
        <x:v>119</x:v>
      </x:c>
      <x:c r="E122" s="34" t="str">
        <x:v>Wolfy1st</x:v>
      </x:c>
      <x:c r="F122" s="34" t="n">
        <x:v>226761</x:v>
      </x:c>
      <x:c r="G122" s="35" t="n">
        <x:f>IF(C122=0,0,F122/C122*B122)</x:f>
        <x:v>18.27916412138793</x:v>
      </x:c>
    </x:row>
    <x:row r="123">
      <x:c r="A123" s="33" t="str">
        <x:v>Guild Challenge</x:v>
      </x:c>
      <x:c r="B123" s="34" t="n">
        <x:v>17100</x:v>
      </x:c>
      <x:c r="C123" s="34" t="n">
        <x:v>212132955</x:v>
      </x:c>
      <x:c r="D123" s="34" t="n">
        <x:v>120</x:v>
      </x:c>
      <x:c r="E123" s="34" t="str">
        <x:v>Warm4m</x:v>
      </x:c>
      <x:c r="F123" s="34" t="n">
        <x:v>226289</x:v>
      </x:c>
      <x:c r="G123" s="35" t="n">
        <x:f>IF(C123=0,0,F123/C123*B123)</x:f>
        <x:v>18.24111628483184</x:v>
      </x:c>
    </x:row>
    <x:row r="124">
      <x:c r="A124" s="33" t="str">
        <x:v>Guild Challenge</x:v>
      </x:c>
      <x:c r="B124" s="34" t="n">
        <x:v>17100</x:v>
      </x:c>
      <x:c r="C124" s="34" t="n">
        <x:v>212132955</x:v>
      </x:c>
      <x:c r="D124" s="34" t="n">
        <x:v>121</x:v>
      </x:c>
      <x:c r="E124" s="34" t="str">
        <x:v>tfmPuniSHEr</x:v>
      </x:c>
      <x:c r="F124" s="34" t="n">
        <x:v>214508</x:v>
      </x:c>
      <x:c r="G124" s="35" t="n">
        <x:f>IF(C124=0,0,F124/C124*B124)</x:f>
        <x:v>17.291451957570665</x:v>
      </x:c>
    </x:row>
    <x:row r="125">
      <x:c r="A125" s="33" t="str">
        <x:v>Guild Challenge</x:v>
      </x:c>
      <x:c r="B125" s="34" t="n">
        <x:v>17100</x:v>
      </x:c>
      <x:c r="C125" s="34" t="n">
        <x:v>212132955</x:v>
      </x:c>
      <x:c r="D125" s="34" t="n">
        <x:v>122</x:v>
      </x:c>
      <x:c r="E125" s="34" t="str">
        <x:v>ThordaSilva</x:v>
      </x:c>
      <x:c r="F125" s="34" t="n">
        <x:v>209851</x:v>
      </x:c>
      <x:c r="G125" s="35" t="n">
        <x:f>IF(C125=0,0,F125/C125*B125)</x:f>
        <x:v>16.916052010872143</x:v>
      </x:c>
    </x:row>
    <x:row r="126">
      <x:c r="A126" s="33" t="str">
        <x:v>Guild Challenge</x:v>
      </x:c>
      <x:c r="B126" s="34" t="n">
        <x:v>17100</x:v>
      </x:c>
      <x:c r="C126" s="34" t="n">
        <x:v>212132955</x:v>
      </x:c>
      <x:c r="D126" s="34" t="n">
        <x:v>123</x:v>
      </x:c>
      <x:c r="E126" s="34" t="str">
        <x:v>Jarjarjeanbon</x:v>
      </x:c>
      <x:c r="F126" s="34" t="n">
        <x:v>209783</x:v>
      </x:c>
      <x:c r="G126" s="35" t="n">
        <x:f>IF(C126=0,0,F126/C126*B126)</x:f>
        <x:v>16.910570542893726</x:v>
      </x:c>
    </x:row>
    <x:row r="127">
      <x:c r="A127" s="33" t="str">
        <x:v>Guild Challenge</x:v>
      </x:c>
      <x:c r="B127" s="34" t="n">
        <x:v>17100</x:v>
      </x:c>
      <x:c r="C127" s="34" t="n">
        <x:v>212132955</x:v>
      </x:c>
      <x:c r="D127" s="34" t="n">
        <x:v>124</x:v>
      </x:c>
      <x:c r="E127" s="34" t="str">
        <x:v>Merus</x:v>
      </x:c>
      <x:c r="F127" s="34" t="n">
        <x:v>206746</x:v>
      </x:c>
      <x:c r="G127" s="35" t="n">
        <x:f>IF(C127=0,0,F127/C127*B127)</x:f>
        <x:v>16.665758509798724</x:v>
      </x:c>
    </x:row>
    <x:row r="128">
      <x:c r="A128" s="33" t="str">
        <x:v>Guild Challenge</x:v>
      </x:c>
      <x:c r="B128" s="34" t="n">
        <x:v>17100</x:v>
      </x:c>
      <x:c r="C128" s="34" t="n">
        <x:v>212132955</x:v>
      </x:c>
      <x:c r="D128" s="34" t="n">
        <x:v>125</x:v>
      </x:c>
      <x:c r="E128" s="34" t="str">
        <x:v>Lostmothers</x:v>
      </x:c>
      <x:c r="F128" s="34" t="n">
        <x:v>185754</x:v>
      </x:c>
      <x:c r="G128" s="35" t="n">
        <x:f>IF(C128=0,0,F128/C128*B128)</x:f>
        <x:v>14.973597100931347</x:v>
      </x:c>
    </x:row>
    <x:row r="129">
      <x:c r="A129" s="33" t="str">
        <x:v>Guild Challenge</x:v>
      </x:c>
      <x:c r="B129" s="34" t="n">
        <x:v>17100</x:v>
      </x:c>
      <x:c r="C129" s="34" t="n">
        <x:v>212132955</x:v>
      </x:c>
      <x:c r="D129" s="34" t="n">
        <x:v>126</x:v>
      </x:c>
      <x:c r="E129" s="34" t="str">
        <x:v>JackTrip21</x:v>
      </x:c>
      <x:c r="F129" s="34" t="n">
        <x:v>177947</x:v>
      </x:c>
      <x:c r="G129" s="35" t="n">
        <x:f>IF(C129=0,0,F129/C129*B129)</x:f>
        <x:v>14.344276211114865</x:v>
      </x:c>
    </x:row>
    <x:row r="130">
      <x:c r="A130" s="33" t="str">
        <x:v>Guild Challenge</x:v>
      </x:c>
      <x:c r="B130" s="34" t="n">
        <x:v>17100</x:v>
      </x:c>
      <x:c r="C130" s="34" t="n">
        <x:v>212132955</x:v>
      </x:c>
      <x:c r="D130" s="34" t="n">
        <x:v>127</x:v>
      </x:c>
      <x:c r="E130" s="34" t="str">
        <x:v>teessa</x:v>
      </x:c>
      <x:c r="F130" s="34" t="n">
        <x:v>176526</x:v>
      </x:c>
      <x:c r="G130" s="35" t="n">
        <x:f>IF(C130=0,0,F130/C130*B130)</x:f>
        <x:v>14.22972965233054</x:v>
      </x:c>
    </x:row>
    <x:row r="131">
      <x:c r="A131" s="33" t="str">
        <x:v>Guild Challenge</x:v>
      </x:c>
      <x:c r="B131" s="34" t="n">
        <x:v>17100</x:v>
      </x:c>
      <x:c r="C131" s="34" t="n">
        <x:v>212132955</x:v>
      </x:c>
      <x:c r="D131" s="34" t="n">
        <x:v>128</x:v>
      </x:c>
      <x:c r="E131" s="34" t="str">
        <x:v>kadigo</x:v>
      </x:c>
      <x:c r="F131" s="34" t="n">
        <x:v>167464</x:v>
      </x:c>
      <x:c r="G131" s="35" t="n">
        <x:f>IF(C131=0,0,F131/C131*B131)</x:f>
        <x:v>13.499243434382931</x:v>
      </x:c>
    </x:row>
    <x:row r="132">
      <x:c r="A132" s="33" t="str">
        <x:v>Guild Challenge</x:v>
      </x:c>
      <x:c r="B132" s="34" t="n">
        <x:v>17100</x:v>
      </x:c>
      <x:c r="C132" s="34" t="n">
        <x:v>212132955</x:v>
      </x:c>
      <x:c r="D132" s="34" t="n">
        <x:v>129</x:v>
      </x:c>
      <x:c r="E132" s="34" t="str">
        <x:v>IIIIIIIIIII</x:v>
      </x:c>
      <x:c r="F132" s="34" t="n">
        <x:v>164620</x:v>
      </x:c>
      <x:c r="G132" s="35" t="n">
        <x:f>IF(C132=0,0,F132/C132*B132)</x:f>
        <x:v>13.26998909716786</x:v>
      </x:c>
    </x:row>
    <x:row r="133">
      <x:c r="A133" s="33" t="str">
        <x:v>Guild Challenge</x:v>
      </x:c>
      <x:c r="B133" s="34" t="n">
        <x:v>17100</x:v>
      </x:c>
      <x:c r="C133" s="34" t="n">
        <x:v>212132955</x:v>
      </x:c>
      <x:c r="D133" s="34" t="n">
        <x:v>130</x:v>
      </x:c>
      <x:c r="E133" s="34" t="str">
        <x:v>TheoTheLion</x:v>
      </x:c>
      <x:c r="F133" s="34" t="n">
        <x:v>163584</x:v>
      </x:c>
      <x:c r="G133" s="35" t="n">
        <x:f>IF(C133=0,0,F133/C133*B133)</x:f>
        <x:v>13.186477320320174</x:v>
      </x:c>
    </x:row>
    <x:row r="134">
      <x:c r="A134" s="33" t="str">
        <x:v>Guild Challenge</x:v>
      </x:c>
      <x:c r="B134" s="34" t="n">
        <x:v>17100</x:v>
      </x:c>
      <x:c r="C134" s="34" t="n">
        <x:v>212132955</x:v>
      </x:c>
      <x:c r="D134" s="34" t="n">
        <x:v>131</x:v>
      </x:c>
      <x:c r="E134" s="34" t="str">
        <x:v>dudugamexd43</x:v>
      </x:c>
      <x:c r="F134" s="34" t="n">
        <x:v>161974</x:v>
      </x:c>
      <x:c r="G134" s="35" t="n">
        <x:f>IF(C134=0,0,F134/C134*B134)</x:f>
        <x:v>13.056695504948772</x:v>
      </x:c>
    </x:row>
    <x:row r="135">
      <x:c r="A135" s="33" t="str">
        <x:v>Guild Challenge</x:v>
      </x:c>
      <x:c r="B135" s="34" t="n">
        <x:v>17100</x:v>
      </x:c>
      <x:c r="C135" s="34" t="n">
        <x:v>212132955</x:v>
      </x:c>
      <x:c r="D135" s="34" t="n">
        <x:v>132</x:v>
      </x:c>
      <x:c r="E135" s="34" t="str">
        <x:v>GlitterGold</x:v>
      </x:c>
      <x:c r="F135" s="34" t="n">
        <x:v>159073</x:v>
      </x:c>
      <x:c r="G135" s="35" t="n">
        <x:f>IF(C135=0,0,F135/C135*B135)</x:f>
        <x:v>12.82284640781061</x:v>
      </x:c>
    </x:row>
    <x:row r="136">
      <x:c r="A136" s="33" t="str">
        <x:v>Guild Challenge</x:v>
      </x:c>
      <x:c r="B136" s="34" t="n">
        <x:v>17100</x:v>
      </x:c>
      <x:c r="C136" s="34" t="n">
        <x:v>212132955</x:v>
      </x:c>
      <x:c r="D136" s="34" t="n">
        <x:v>133</x:v>
      </x:c>
      <x:c r="E136" s="34" t="str">
        <x:v>NevesXC</x:v>
      </x:c>
      <x:c r="F136" s="34" t="n">
        <x:v>158792</x:v>
      </x:c>
      <x:c r="G136" s="35" t="n">
        <x:f>IF(C136=0,0,F136/C136*B136)</x:f>
        <x:v>12.800195047488025</x:v>
      </x:c>
    </x:row>
    <x:row r="137">
      <x:c r="A137" s="33" t="str">
        <x:v>Guild Challenge</x:v>
      </x:c>
      <x:c r="B137" s="34" t="n">
        <x:v>17100</x:v>
      </x:c>
      <x:c r="C137" s="34" t="n">
        <x:v>212132955</x:v>
      </x:c>
      <x:c r="D137" s="34" t="n">
        <x:v>134</x:v>
      </x:c>
      <x:c r="E137" s="34" t="str">
        <x:v>nito19</x:v>
      </x:c>
      <x:c r="F137" s="34" t="n">
        <x:v>156797</x:v>
      </x:c>
      <x:c r="G137" s="35" t="n">
        <x:f>IF(C137=0,0,F137/C137*B137)</x:f>
        <x:v>12.639378450179983</x:v>
      </x:c>
    </x:row>
    <x:row r="138">
      <x:c r="A138" s="33" t="str">
        <x:v>Guild Challenge</x:v>
      </x:c>
      <x:c r="B138" s="34" t="n">
        <x:v>17100</x:v>
      </x:c>
      <x:c r="C138" s="34" t="n">
        <x:v>212132955</x:v>
      </x:c>
      <x:c r="D138" s="34" t="n">
        <x:v>135</x:v>
      </x:c>
      <x:c r="E138" s="34" t="str">
        <x:v>RobertXVII</x:v>
      </x:c>
      <x:c r="F138" s="34" t="n">
        <x:v>153204</x:v>
      </x:c>
      <x:c r="G138" s="35" t="n">
        <x:f>IF(C138=0,0,F138/C138*B138)</x:f>
        <x:v>12.349747355379083</x:v>
      </x:c>
    </x:row>
    <x:row r="139">
      <x:c r="A139" s="33" t="str">
        <x:v>Guild Challenge</x:v>
      </x:c>
      <x:c r="B139" s="34" t="n">
        <x:v>17100</x:v>
      </x:c>
      <x:c r="C139" s="34" t="n">
        <x:v>212132955</x:v>
      </x:c>
      <x:c r="D139" s="34" t="n">
        <x:v>136</x:v>
      </x:c>
      <x:c r="E139" s="34" t="str">
        <x:v>vitinraba</x:v>
      </x:c>
      <x:c r="F139" s="34" t="n">
        <x:v>152200</x:v>
      </x:c>
      <x:c r="G139" s="35" t="n">
        <x:f>IF(C139=0,0,F139/C139*B139)</x:f>
        <x:v>12.268815092874185</x:v>
      </x:c>
    </x:row>
    <x:row r="140">
      <x:c r="A140" s="33" t="str">
        <x:v>Guild Challenge</x:v>
      </x:c>
      <x:c r="B140" s="34" t="n">
        <x:v>17100</x:v>
      </x:c>
      <x:c r="C140" s="34" t="n">
        <x:v>212132955</x:v>
      </x:c>
      <x:c r="D140" s="34" t="n">
        <x:v>137</x:v>
      </x:c>
      <x:c r="E140" s="34" t="str">
        <x:v>Mavin</x:v>
      </x:c>
      <x:c r="F140" s="34" t="n">
        <x:v>143718</x:v>
      </x:c>
      <x:c r="G140" s="35" t="n">
        <x:f>IF(C140=0,0,F140/C140*B140)</x:f>
        <x:v>11.585082572389565</x:v>
      </x:c>
    </x:row>
    <x:row r="141">
      <x:c r="A141" s="33" t="str">
        <x:v>Guild Challenge</x:v>
      </x:c>
      <x:c r="B141" s="34" t="n">
        <x:v>17100</x:v>
      </x:c>
      <x:c r="C141" s="34" t="n">
        <x:v>212132955</x:v>
      </x:c>
      <x:c r="D141" s="34" t="n">
        <x:v>138</x:v>
      </x:c>
      <x:c r="E141" s="34" t="str">
        <x:v>CunaPrata</x:v>
      </x:c>
      <x:c r="F141" s="34" t="n">
        <x:v>143063</x:v>
      </x:c>
      <x:c r="G141" s="35" t="n">
        <x:f>IF(C141=0,0,F141/C141*B141)</x:f>
        <x:v>11.53228313818567</x:v>
      </x:c>
    </x:row>
    <x:row r="142">
      <x:c r="A142" s="33" t="str">
        <x:v>Guild Challenge</x:v>
      </x:c>
      <x:c r="B142" s="34" t="n">
        <x:v>17100</x:v>
      </x:c>
      <x:c r="C142" s="34" t="n">
        <x:v>212132955</x:v>
      </x:c>
      <x:c r="D142" s="34" t="n">
        <x:v>139</x:v>
      </x:c>
      <x:c r="E142" s="34" t="str">
        <x:v>Imortal</x:v>
      </x:c>
      <x:c r="F142" s="34" t="n">
        <x:v>141197</x:v>
      </x:c>
      <x:c r="G142" s="35" t="n">
        <x:f>IF(C142=0,0,F142/C142*B142)</x:f>
        <x:v>11.381865208071984</x:v>
      </x:c>
    </x:row>
    <x:row r="143">
      <x:c r="A143" s="33" t="str">
        <x:v>Guild Challenge</x:v>
      </x:c>
      <x:c r="B143" s="34" t="n">
        <x:v>17100</x:v>
      </x:c>
      <x:c r="C143" s="34" t="n">
        <x:v>212132955</x:v>
      </x:c>
      <x:c r="D143" s="34" t="n">
        <x:v>140</x:v>
      </x:c>
      <x:c r="E143" s="34" t="str">
        <x:v>Davllmix</x:v>
      </x:c>
      <x:c r="F143" s="34" t="n">
        <x:v>139815</x:v>
      </x:c>
      <x:c r="G143" s="35" t="n">
        <x:f>IF(C143=0,0,F143/C143*B143)</x:f>
        <x:v>11.27046243239293</x:v>
      </x:c>
    </x:row>
    <x:row r="144">
      <x:c r="A144" s="33" t="str">
        <x:v>Guild Challenge</x:v>
      </x:c>
      <x:c r="B144" s="34" t="n">
        <x:v>17100</x:v>
      </x:c>
      <x:c r="C144" s="34" t="n">
        <x:v>212132955</x:v>
      </x:c>
      <x:c r="D144" s="34" t="n">
        <x:v>141</x:v>
      </x:c>
      <x:c r="E144" s="34" t="str">
        <x:v>xKickout</x:v>
      </x:c>
      <x:c r="F144" s="34" t="n">
        <x:v>137344</x:v>
      </x:c>
      <x:c r="G144" s="35" t="n">
        <x:f>IF(C144=0,0,F144/C144*B144)</x:f>
        <x:v>11.071275559235952</x:v>
      </x:c>
    </x:row>
    <x:row r="145">
      <x:c r="A145" s="33" t="str">
        <x:v>Guild Challenge</x:v>
      </x:c>
      <x:c r="B145" s="34" t="n">
        <x:v>17100</x:v>
      </x:c>
      <x:c r="C145" s="34" t="n">
        <x:v>212132955</x:v>
      </x:c>
      <x:c r="D145" s="34" t="n">
        <x:v>142</x:v>
      </x:c>
      <x:c r="E145" s="34" t="str">
        <x:v>Madruguinha</x:v>
      </x:c>
      <x:c r="F145" s="34" t="n">
        <x:v>133757</x:v>
      </x:c>
      <x:c r="G145" s="35" t="n">
        <x:f>IF(C145=0,0,F145/C145*B145)</x:f>
        <x:v>10.782128123374324</x:v>
      </x:c>
    </x:row>
    <x:row r="146">
      <x:c r="A146" s="33" t="str">
        <x:v>Guild Challenge</x:v>
      </x:c>
      <x:c r="B146" s="34" t="n">
        <x:v>17100</x:v>
      </x:c>
      <x:c r="C146" s="34" t="n">
        <x:v>212132955</x:v>
      </x:c>
      <x:c r="D146" s="34" t="n">
        <x:v>143</x:v>
      </x:c>
      <x:c r="E146" s="34" t="str">
        <x:v>2PowerGiat</x:v>
      </x:c>
      <x:c r="F146" s="34" t="n">
        <x:v>133289</x:v>
      </x:c>
      <x:c r="G146" s="35" t="n">
        <x:f>IF(C146=0,0,F146/C146*B146)</x:f>
        <x:v>10.744402726111083</x:v>
      </x:c>
    </x:row>
    <x:row r="147">
      <x:c r="A147" s="33" t="str">
        <x:v>Guild Challenge</x:v>
      </x:c>
      <x:c r="B147" s="34" t="n">
        <x:v>17100</x:v>
      </x:c>
      <x:c r="C147" s="34" t="n">
        <x:v>212132955</x:v>
      </x:c>
      <x:c r="D147" s="34" t="n">
        <x:v>144</x:v>
      </x:c>
      <x:c r="E147" s="34" t="str">
        <x:v>ViToR09</x:v>
      </x:c>
      <x:c r="F147" s="34" t="n">
        <x:v>132589</x:v>
      </x:c>
      <x:c r="G147" s="35" t="n">
        <x:f>IF(C147=0,0,F147/C147*B147)</x:f>
        <x:v>10.687975849862648</x:v>
      </x:c>
    </x:row>
    <x:row r="148">
      <x:c r="A148" s="33" t="str">
        <x:v>Guild Challenge</x:v>
      </x:c>
      <x:c r="B148" s="34" t="n">
        <x:v>17100</x:v>
      </x:c>
      <x:c r="C148" s="34" t="n">
        <x:v>212132955</x:v>
      </x:c>
      <x:c r="D148" s="34" t="n">
        <x:v>145</x:v>
      </x:c>
      <x:c r="E148" s="34" t="str">
        <x:v>Hlinha</x:v>
      </x:c>
      <x:c r="F148" s="34" t="n">
        <x:v>130398</x:v>
      </x:c>
      <x:c r="G148" s="35" t="n">
        <x:f>IF(C148=0,0,F148/C148*B148)</x:f>
        <x:v>10.511359727205045</x:v>
      </x:c>
    </x:row>
    <x:row r="149">
      <x:c r="A149" s="33" t="str">
        <x:v>Guild Challenge</x:v>
      </x:c>
      <x:c r="B149" s="34" t="n">
        <x:v>17100</x:v>
      </x:c>
      <x:c r="C149" s="34" t="n">
        <x:v>212132955</x:v>
      </x:c>
      <x:c r="D149" s="34" t="n">
        <x:v>146</x:v>
      </x:c>
      <x:c r="E149" s="34" t="str">
        <x:v>Vr4L</x:v>
      </x:c>
      <x:c r="F149" s="34" t="n">
        <x:v>127206</x:v>
      </x:c>
      <x:c r="G149" s="35" t="n">
        <x:f>IF(C149=0,0,F149/C149*B149)</x:f>
        <x:v>10.254053171512178</x:v>
      </x:c>
    </x:row>
    <x:row r="150">
      <x:c r="A150" s="33" t="str">
        <x:v>Guild Challenge</x:v>
      </x:c>
      <x:c r="B150" s="34" t="n">
        <x:v>17100</x:v>
      </x:c>
      <x:c r="C150" s="34" t="n">
        <x:v>212132955</x:v>
      </x:c>
      <x:c r="D150" s="34" t="n">
        <x:v>147</x:v>
      </x:c>
      <x:c r="E150" s="34" t="str">
        <x:v>Afonsosa</x:v>
      </x:c>
      <x:c r="F150" s="34" t="n">
        <x:v>115355</x:v>
      </x:c>
      <x:c r="G150" s="35" t="n">
        <x:f>IF(C150=0,0,F150/C150*B150)</x:f>
        <x:v>9.298746156626159</x:v>
      </x:c>
    </x:row>
    <x:row r="151">
      <x:c r="A151" s="33" t="str">
        <x:v>Guild Challenge</x:v>
      </x:c>
      <x:c r="B151" s="34" t="n">
        <x:v>17100</x:v>
      </x:c>
      <x:c r="C151" s="34" t="n">
        <x:v>212132955</x:v>
      </x:c>
      <x:c r="D151" s="34" t="n">
        <x:v>148</x:v>
      </x:c>
      <x:c r="E151" s="34" t="str">
        <x:v>BobBob</x:v>
      </x:c>
      <x:c r="F151" s="34" t="n">
        <x:v>103632</x:v>
      </x:c>
      <x:c r="G151" s="35" t="n">
        <x:f>IF(C151=0,0,F151/C151*B151)</x:f>
        <x:v>8.353757199111284</x:v>
      </x:c>
    </x:row>
    <x:row r="152">
      <x:c r="A152" s="33" t="str">
        <x:v>Guild Challenge</x:v>
      </x:c>
      <x:c r="B152" s="34" t="n">
        <x:v>17100</x:v>
      </x:c>
      <x:c r="C152" s="34" t="n">
        <x:v>212132955</x:v>
      </x:c>
      <x:c r="D152" s="34" t="n">
        <x:v>149</x:v>
      </x:c>
      <x:c r="E152" s="34" t="str">
        <x:v>ToastT</x:v>
      </x:c>
      <x:c r="F152" s="34" t="n">
        <x:v>103377</x:v>
      </x:c>
      <x:c r="G152" s="35" t="n">
        <x:f>IF(C152=0,0,F152/C152*B152)</x:f>
        <x:v>8.33320169419221</x:v>
      </x:c>
    </x:row>
    <x:row r="153">
      <x:c r="A153" s="33" t="str">
        <x:v>Guild Challenge</x:v>
      </x:c>
      <x:c r="B153" s="34" t="n">
        <x:v>17100</x:v>
      </x:c>
      <x:c r="C153" s="34" t="n">
        <x:v>212132955</x:v>
      </x:c>
      <x:c r="D153" s="34" t="n">
        <x:v>150</x:v>
      </x:c>
      <x:c r="E153" s="34" t="str">
        <x:v>Superrr2855</x:v>
      </x:c>
      <x:c r="F153" s="34" t="n">
        <x:v>103273</x:v>
      </x:c>
      <x:c r="G153" s="35" t="n">
        <x:f>IF(C153=0,0,F153/C153*B153)</x:f>
        <x:v>8.324818272578158</x:v>
      </x:c>
    </x:row>
    <x:row r="154">
      <x:c r="A154" s="33" t="str">
        <x:v>Guild Challenge</x:v>
      </x:c>
      <x:c r="B154" s="34" t="n">
        <x:v>17100</x:v>
      </x:c>
      <x:c r="C154" s="34" t="n">
        <x:v>212132955</x:v>
      </x:c>
      <x:c r="D154" s="34" t="n">
        <x:v>151</x:v>
      </x:c>
      <x:c r="E154" s="34" t="str">
        <x:v>TensaiPT</x:v>
      </x:c>
      <x:c r="F154" s="34" t="n">
        <x:v>99827</x:v>
      </x:c>
      <x:c r="G154" s="35" t="n">
        <x:f>IF(C154=0,0,F154/C154*B154)</x:f>
        <x:v>8.04703682178943</x:v>
      </x:c>
    </x:row>
    <x:row r="155">
      <x:c r="A155" s="33" t="str">
        <x:v>Guild Challenge</x:v>
      </x:c>
      <x:c r="B155" s="34" t="n">
        <x:v>17100</x:v>
      </x:c>
      <x:c r="C155" s="34" t="n">
        <x:v>212132955</x:v>
      </x:c>
      <x:c r="D155" s="34" t="n">
        <x:v>152</x:v>
      </x:c>
      <x:c r="E155" s="34" t="str">
        <x:v>B2r</x:v>
      </x:c>
      <x:c r="F155" s="34" t="n">
        <x:v>95173</x:v>
      </x:c>
      <x:c r="G155" s="35" t="n">
        <x:f>IF(C155=0,0,F155/C155*B155)</x:f>
        <x:v>7.671878704560544</x:v>
      </x:c>
    </x:row>
    <x:row r="156">
      <x:c r="A156" s="33" t="str">
        <x:v>Guild Challenge</x:v>
      </x:c>
      <x:c r="B156" s="34" t="n">
        <x:v>17100</x:v>
      </x:c>
      <x:c r="C156" s="34" t="n">
        <x:v>212132955</x:v>
      </x:c>
      <x:c r="D156" s="34" t="n">
        <x:v>153</x:v>
      </x:c>
      <x:c r="E156" s="34" t="str">
        <x:v>suypoM</x:v>
      </x:c>
      <x:c r="F156" s="34" t="n">
        <x:v>89078</x:v>
      </x:c>
      <x:c r="G156" s="35" t="n">
        <x:f>IF(C156=0,0,F156/C156*B156)</x:f>
        <x:v>7.180561832083091</x:v>
      </x:c>
    </x:row>
    <x:row r="157">
      <x:c r="A157" s="33" t="str">
        <x:v>Guild Challenge</x:v>
      </x:c>
      <x:c r="B157" s="34" t="n">
        <x:v>17100</x:v>
      </x:c>
      <x:c r="C157" s="34" t="n">
        <x:v>212132955</x:v>
      </x:c>
      <x:c r="D157" s="34" t="n">
        <x:v>154</x:v>
      </x:c>
      <x:c r="E157" s="34" t="str">
        <x:v>BWCTuga</x:v>
      </x:c>
      <x:c r="F157" s="34" t="n">
        <x:v>88226</x:v>
      </x:c>
      <x:c r="G157" s="35" t="n">
        <x:f>IF(C157=0,0,F157/C157*B157)</x:f>
        <x:v>7.111882262706424</x:v>
      </x:c>
    </x:row>
    <x:row r="158">
      <x:c r="A158" s="33" t="str">
        <x:v>Guild Challenge</x:v>
      </x:c>
      <x:c r="B158" s="34" t="n">
        <x:v>17100</x:v>
      </x:c>
      <x:c r="C158" s="34" t="n">
        <x:v>212132955</x:v>
      </x:c>
      <x:c r="D158" s="34" t="n">
        <x:v>155</x:v>
      </x:c>
      <x:c r="E158" s="34" t="str">
        <x:v>JoxPT</x:v>
      </x:c>
      <x:c r="F158" s="34" t="n">
        <x:v>86234</x:v>
      </x:c>
      <x:c r="G158" s="35" t="n">
        <x:f>IF(C158=0,0,F158/C158*B158)</x:f>
        <x:v>6.9513074948680185</x:v>
      </x:c>
    </x:row>
    <x:row r="159">
      <x:c r="A159" s="33" t="str">
        <x:v>Guild Challenge</x:v>
      </x:c>
      <x:c r="B159" s="34" t="n">
        <x:v>17100</x:v>
      </x:c>
      <x:c r="C159" s="34" t="n">
        <x:v>212132955</x:v>
      </x:c>
      <x:c r="D159" s="34" t="n">
        <x:v>156</x:v>
      </x:c>
      <x:c r="E159" s="34" t="str">
        <x:v>oldZada</x:v>
      </x:c>
      <x:c r="F159" s="34" t="n">
        <x:v>85764</x:v>
      </x:c>
      <x:c r="G159" s="35" t="n">
        <x:f>IF(C159=0,0,F159/C159*B159)</x:f>
        <x:v>6.9134208779583535</x:v>
      </x:c>
    </x:row>
    <x:row r="160">
      <x:c r="A160" s="33" t="str">
        <x:v>Guild Challenge</x:v>
      </x:c>
      <x:c r="B160" s="34" t="n">
        <x:v>17100</x:v>
      </x:c>
      <x:c r="C160" s="34" t="n">
        <x:v>212132955</x:v>
      </x:c>
      <x:c r="D160" s="34" t="n">
        <x:v>157</x:v>
      </x:c>
      <x:c r="E160" s="34" t="str">
        <x:v>Lourok</x:v>
      </x:c>
      <x:c r="F160" s="34" t="n">
        <x:v>85462</x:v>
      </x:c>
      <x:c r="G160" s="35" t="n">
        <x:f>IF(C160=0,0,F160/C160*B160)</x:f>
        <x:v>6.889076711348314</x:v>
      </x:c>
    </x:row>
    <x:row r="161">
      <x:c r="A161" s="33" t="str">
        <x:v>Guild Challenge</x:v>
      </x:c>
      <x:c r="B161" s="34" t="n">
        <x:v>17100</x:v>
      </x:c>
      <x:c r="C161" s="34" t="n">
        <x:v>212132955</x:v>
      </x:c>
      <x:c r="D161" s="34" t="n">
        <x:v>158</x:v>
      </x:c>
      <x:c r="E161" s="34" t="str">
        <x:v>Patiinhas</x:v>
      </x:c>
      <x:c r="F161" s="34" t="n">
        <x:v>79159</x:v>
      </x:c>
      <x:c r="G161" s="35" t="n">
        <x:f>IF(C161=0,0,F161/C161*B161)</x:f>
        <x:v>6.380992995642756</x:v>
      </x:c>
    </x:row>
    <x:row r="162">
      <x:c r="A162" s="33" t="str">
        <x:v>Guild Challenge</x:v>
      </x:c>
      <x:c r="B162" s="34" t="n">
        <x:v>17100</x:v>
      </x:c>
      <x:c r="C162" s="34" t="n">
        <x:v>212132955</x:v>
      </x:c>
      <x:c r="D162" s="34" t="n">
        <x:v>159</x:v>
      </x:c>
      <x:c r="E162" s="34" t="str">
        <x:v>MakeOverBonk</x:v>
      </x:c>
      <x:c r="F162" s="34" t="n">
        <x:v>77976</x:v>
      </x:c>
      <x:c r="G162" s="35" t="n">
        <x:f>IF(C162=0,0,F162/C162*B162)</x:f>
        <x:v>6.285631574782899</x:v>
      </x:c>
    </x:row>
    <x:row r="163">
      <x:c r="A163" s="33" t="str">
        <x:v>Guild Challenge</x:v>
      </x:c>
      <x:c r="B163" s="34" t="n">
        <x:v>17100</x:v>
      </x:c>
      <x:c r="C163" s="34" t="n">
        <x:v>212132955</x:v>
      </x:c>
      <x:c r="D163" s="34" t="n">
        <x:v>160</x:v>
      </x:c>
      <x:c r="E163" s="34" t="str">
        <x:v>1SkylifhtLWY</x:v>
      </x:c>
      <x:c r="F163" s="34" t="n">
        <x:v>75520</x:v>
      </x:c>
      <x:c r="G163" s="35" t="n">
        <x:f>IF(C163=0,0,F163/C163*B163)</x:f>
        <x:v>6.087653848974102</x:v>
      </x:c>
    </x:row>
    <x:row r="164">
      <x:c r="A164" s="33" t="str">
        <x:v>Guild Challenge</x:v>
      </x:c>
      <x:c r="B164" s="34" t="n">
        <x:v>17100</x:v>
      </x:c>
      <x:c r="C164" s="34" t="n">
        <x:v>212132955</x:v>
      </x:c>
      <x:c r="D164" s="34" t="n">
        <x:v>161</x:v>
      </x:c>
      <x:c r="E164" s="34" t="str">
        <x:v>Telesss</x:v>
      </x:c>
      <x:c r="F164" s="34" t="n">
        <x:v>69630</x:v>
      </x:c>
      <x:c r="G164" s="35" t="n">
        <x:f>IF(C164=0,0,F164/C164*B164)</x:f>
        <x:v>5.61286199025512</x:v>
      </x:c>
    </x:row>
    <x:row r="165">
      <x:c r="A165" s="33" t="str">
        <x:v>Guild Challenge</x:v>
      </x:c>
      <x:c r="B165" s="34" t="n">
        <x:v>17100</x:v>
      </x:c>
      <x:c r="C165" s="34" t="n">
        <x:v>212132955</x:v>
      </x:c>
      <x:c r="D165" s="34" t="n">
        <x:v>162</x:v>
      </x:c>
      <x:c r="E165" s="34" t="str">
        <x:v>ZURGUING</x:v>
      </x:c>
      <x:c r="F165" s="34" t="n">
        <x:v>68152</x:v>
      </x:c>
      <x:c r="G165" s="35" t="n">
        <x:f>IF(C165=0,0,F165/C165*B165)</x:f>
        <x:v>5.493720671547709</x:v>
      </x:c>
    </x:row>
    <x:row r="166">
      <x:c r="A166" s="33" t="str">
        <x:v>Guild Challenge</x:v>
      </x:c>
      <x:c r="B166" s="34" t="n">
        <x:v>17100</x:v>
      </x:c>
      <x:c r="C166" s="34" t="n">
        <x:v>212132955</x:v>
      </x:c>
      <x:c r="D166" s="34" t="n">
        <x:v>163</x:v>
      </x:c>
      <x:c r="E166" s="34" t="str">
        <x:v>BigKaHuNa</x:v>
      </x:c>
      <x:c r="F166" s="34" t="n">
        <x:v>58891</x:v>
      </x:c>
      <x:c r="G166" s="35" t="n">
        <x:f>IF(C166=0,0,F166/C166*B166)</x:f>
        <x:v>4.747193098780904</x:v>
      </x:c>
    </x:row>
    <x:row r="167">
      <x:c r="A167" s="33" t="str">
        <x:v>Guild Challenge</x:v>
      </x:c>
      <x:c r="B167" s="34" t="n">
        <x:v>17100</x:v>
      </x:c>
      <x:c r="C167" s="34" t="n">
        <x:v>212132955</x:v>
      </x:c>
      <x:c r="D167" s="34" t="n">
        <x:v>164</x:v>
      </x:c>
      <x:c r="E167" s="34" t="str">
        <x:v>executador</x:v>
      </x:c>
      <x:c r="F167" s="34" t="n">
        <x:v>56420</x:v>
      </x:c>
      <x:c r="G167" s="35" t="n">
        <x:f>IF(C167=0,0,F167/C167*B167)</x:f>
        <x:v>4.548006225623926</x:v>
      </x:c>
    </x:row>
    <x:row r="168">
      <x:c r="A168" s="33" t="str">
        <x:v>Guild Challenge</x:v>
      </x:c>
      <x:c r="B168" s="34" t="n">
        <x:v>17100</x:v>
      </x:c>
      <x:c r="C168" s="34" t="n">
        <x:v>212132955</x:v>
      </x:c>
      <x:c r="D168" s="34" t="n">
        <x:v>165</x:v>
      </x:c>
      <x:c r="E168" s="34" t="str">
        <x:v>Sariely</x:v>
      </x:c>
      <x:c r="F168" s="34" t="n">
        <x:v>50565</x:v>
      </x:c>
      <x:c r="G168" s="35" t="n">
        <x:f>IF(C168=0,0,F168/C168*B168)</x:f>
        <x:v>4.076035710717366</x:v>
      </x:c>
    </x:row>
    <x:row r="169">
      <x:c r="A169" s="33" t="str">
        <x:v>Guild Challenge</x:v>
      </x:c>
      <x:c r="B169" s="34" t="n">
        <x:v>17100</x:v>
      </x:c>
      <x:c r="C169" s="34" t="n">
        <x:v>212132955</x:v>
      </x:c>
      <x:c r="D169" s="34" t="n">
        <x:v>166</x:v>
      </x:c>
      <x:c r="E169" s="34" t="str">
        <x:v>leonekilua</x:v>
      </x:c>
      <x:c r="F169" s="34" t="n">
        <x:v>47257</x:v>
      </x:c>
      <x:c r="G169" s="35" t="n">
        <x:f>IF(C169=0,0,F169/C169*B169)</x:f>
        <x:v>3.809378415531901</x:v>
      </x:c>
    </x:row>
    <x:row r="170">
      <x:c r="A170" s="33" t="str">
        <x:v>Guild Challenge</x:v>
      </x:c>
      <x:c r="B170" s="34" t="n">
        <x:v>17100</x:v>
      </x:c>
      <x:c r="C170" s="34" t="n">
        <x:v>212132955</x:v>
      </x:c>
      <x:c r="D170" s="34" t="n">
        <x:v>167</x:v>
      </x:c>
      <x:c r="E170" s="34" t="str">
        <x:v>WillHue</x:v>
      </x:c>
      <x:c r="F170" s="34" t="n">
        <x:v>43214</x:v>
      </x:c>
      <x:c r="G170" s="35" t="n">
        <x:f>IF(C170=0,0,F170/C170*B170)</x:f>
        <x:v>3.483472900285578</x:v>
      </x:c>
    </x:row>
    <x:row r="171">
      <x:c r="A171" s="33" t="str">
        <x:v>Guild Challenge</x:v>
      </x:c>
      <x:c r="B171" s="34" t="n">
        <x:v>17100</x:v>
      </x:c>
      <x:c r="C171" s="34" t="n">
        <x:v>212132955</x:v>
      </x:c>
      <x:c r="D171" s="34" t="n">
        <x:v>168</x:v>
      </x:c>
      <x:c r="E171" s="34" t="str">
        <x:v>Sonjigolo</x:v>
      </x:c>
      <x:c r="F171" s="34" t="n">
        <x:v>43018</x:v>
      </x:c>
      <x:c r="G171" s="35" t="n">
        <x:f>IF(C171=0,0,F171/C171*B171)</x:f>
        <x:v>3.467673374936016</x:v>
      </x:c>
    </x:row>
    <x:row r="172">
      <x:c r="A172" s="33" t="str">
        <x:v>Guild Challenge</x:v>
      </x:c>
      <x:c r="B172" s="34" t="n">
        <x:v>17100</x:v>
      </x:c>
      <x:c r="C172" s="34" t="n">
        <x:v>212132955</x:v>
      </x:c>
      <x:c r="D172" s="34" t="n">
        <x:v>169</x:v>
      </x:c>
      <x:c r="E172" s="34" t="str">
        <x:v>FullTime</x:v>
      </x:c>
      <x:c r="F172" s="34" t="n">
        <x:v>40320</x:v>
      </x:c>
      <x:c r="G172" s="35" t="n">
        <x:f>IF(C172=0,0,F172/C172*B172)</x:f>
        <x:v>3.250188071909902</x:v>
      </x:c>
    </x:row>
    <x:row r="173">
      <x:c r="A173" s="33" t="str">
        <x:v>Guild Challenge</x:v>
      </x:c>
      <x:c r="B173" s="34" t="n">
        <x:v>17100</x:v>
      </x:c>
      <x:c r="C173" s="34" t="n">
        <x:v>212132955</x:v>
      </x:c>
      <x:c r="D173" s="34" t="n">
        <x:v>170</x:v>
      </x:c>
      <x:c r="E173" s="34" t="str">
        <x:v>o</x:v>
      </x:c>
      <x:c r="F173" s="34" t="n">
        <x:v>39540</x:v>
      </x:c>
      <x:c r="G173" s="35" t="n">
        <x:f>IF(C173=0,0,F173/C173*B173)</x:f>
        <x:v>3.187312409804502</x:v>
      </x:c>
    </x:row>
    <x:row r="174">
      <x:c r="A174" s="33" t="str">
        <x:v>Guild Challenge</x:v>
      </x:c>
      <x:c r="B174" s="34" t="n">
        <x:v>17100</x:v>
      </x:c>
      <x:c r="C174" s="34" t="n">
        <x:v>212132955</x:v>
      </x:c>
      <x:c r="D174" s="34" t="n">
        <x:v>171</x:v>
      </x:c>
      <x:c r="E174" s="34" t="str">
        <x:v>Zicadas</x:v>
      </x:c>
      <x:c r="F174" s="34" t="n">
        <x:v>39232</x:v>
      </x:c>
      <x:c r="G174" s="35" t="n">
        <x:f>IF(C174=0,0,F174/C174*B174)</x:f>
        <x:v>3.16248458425519</x:v>
      </x:c>
    </x:row>
    <x:row r="175">
      <x:c r="A175" s="33" t="str">
        <x:v>Guild Challenge</x:v>
      </x:c>
      <x:c r="B175" s="34" t="n">
        <x:v>17100</x:v>
      </x:c>
      <x:c r="C175" s="34" t="n">
        <x:v>212132955</x:v>
      </x:c>
      <x:c r="D175" s="34" t="n">
        <x:v>172</x:v>
      </x:c>
      <x:c r="E175" s="34" t="str">
        <x:v>OWERLORI123</x:v>
      </x:c>
      <x:c r="F175" s="34" t="n">
        <x:v>37996</x:v>
      </x:c>
      <x:c r="G175" s="35" t="n">
        <x:f>IF(C175=0,0,F175/C175*B175)</x:f>
        <x:v>3.062850842765095</x:v>
      </x:c>
    </x:row>
    <x:row r="176">
      <x:c r="A176" s="33" t="str">
        <x:v>Guild Challenge</x:v>
      </x:c>
      <x:c r="B176" s="34" t="n">
        <x:v>17100</x:v>
      </x:c>
      <x:c r="C176" s="34" t="n">
        <x:v>212132955</x:v>
      </x:c>
      <x:c r="D176" s="34" t="n">
        <x:v>173</x:v>
      </x:c>
      <x:c r="E176" s="34" t="str">
        <x:v>Kytario</x:v>
      </x:c>
      <x:c r="F176" s="34" t="n">
        <x:v>37465</x:v>
      </x:c>
      <x:c r="G176" s="35" t="n">
        <x:f>IF(C176=0,0,F176/C176*B176)</x:f>
        <x:v>3.020047026639496</x:v>
      </x:c>
    </x:row>
    <x:row r="177">
      <x:c r="A177" s="33" t="str">
        <x:v>Guild Challenge</x:v>
      </x:c>
      <x:c r="B177" s="34" t="n">
        <x:v>17100</x:v>
      </x:c>
      <x:c r="C177" s="34" t="n">
        <x:v>212132955</x:v>
      </x:c>
      <x:c r="D177" s="34" t="n">
        <x:v>174</x:v>
      </x:c>
      <x:c r="E177" s="34" t="str">
        <x:v>Xiitos</x:v>
      </x:c>
      <x:c r="F177" s="34" t="n">
        <x:v>36996</x:v>
      </x:c>
      <x:c r="G177" s="35" t="n">
        <x:f>IF(C177=0,0,F177/C177*B177)</x:f>
        <x:v>2.9822410195530438</x:v>
      </x:c>
    </x:row>
    <x:row r="178">
      <x:c r="A178" s="33" t="str">
        <x:v>Guild Challenge</x:v>
      </x:c>
      <x:c r="B178" s="34" t="n">
        <x:v>17100</x:v>
      </x:c>
      <x:c r="C178" s="34" t="n">
        <x:v>212132955</x:v>
      </x:c>
      <x:c r="D178" s="34" t="n">
        <x:v>175</x:v>
      </x:c>
      <x:c r="E178" s="34" t="str">
        <x:v>Bijior</x:v>
      </x:c>
      <x:c r="F178" s="34" t="n">
        <x:v>36962</x:v>
      </x:c>
      <x:c r="G178" s="35" t="n">
        <x:f>IF(C178=0,0,F178/C178*B178)</x:f>
        <x:v>2.979500285563834</x:v>
      </x:c>
    </x:row>
    <x:row r="179">
      <x:c r="A179" s="33" t="str">
        <x:v>Guild Challenge</x:v>
      </x:c>
      <x:c r="B179" s="34" t="n">
        <x:v>17100</x:v>
      </x:c>
      <x:c r="C179" s="34" t="n">
        <x:v>212132955</x:v>
      </x:c>
      <x:c r="D179" s="34" t="n">
        <x:v>176</x:v>
      </x:c>
      <x:c r="E179" s="34" t="str">
        <x:v>gusta23</x:v>
      </x:c>
      <x:c r="F179" s="34" t="n">
        <x:v>36567</x:v>
      </x:c>
      <x:c r="G179" s="35" t="n">
        <x:f>IF(C179=0,0,F179/C179*B179)</x:f>
        <x:v>2.947659405395074</x:v>
      </x:c>
    </x:row>
    <x:row r="180">
      <x:c r="A180" s="33" t="str">
        <x:v>Guild Challenge</x:v>
      </x:c>
      <x:c r="B180" s="34" t="n">
        <x:v>17100</x:v>
      </x:c>
      <x:c r="C180" s="34" t="n">
        <x:v>212132955</x:v>
      </x:c>
      <x:c r="D180" s="34" t="n">
        <x:v>177</x:v>
      </x:c>
      <x:c r="E180" s="34" t="str">
        <x:v>Andrezao</x:v>
      </x:c>
      <x:c r="F180" s="34" t="n">
        <x:v>36477</x:v>
      </x:c>
      <x:c r="G180" s="35" t="n">
        <x:f>IF(C180=0,0,F180/C180*B180)</x:f>
        <x:v>2.940404521305989</x:v>
      </x:c>
    </x:row>
    <x:row r="181">
      <x:c r="A181" s="33" t="str">
        <x:v>Guild Challenge</x:v>
      </x:c>
      <x:c r="B181" s="34" t="n">
        <x:v>17100</x:v>
      </x:c>
      <x:c r="C181" s="34" t="n">
        <x:v>212132955</x:v>
      </x:c>
      <x:c r="D181" s="34" t="n">
        <x:v>178</x:v>
      </x:c>
      <x:c r="E181" s="34" t="str">
        <x:v>RUILEI</x:v>
      </x:c>
      <x:c r="F181" s="34" t="n">
        <x:v>35211</x:v>
      </x:c>
      <x:c r="G181" s="35" t="n">
        <x:f>IF(C181=0,0,F181/C181*B181)</x:f>
        <x:v>2.8383524851195325</x:v>
      </x:c>
    </x:row>
    <x:row r="182">
      <x:c r="A182" s="33" t="str">
        <x:v>Guild Challenge</x:v>
      </x:c>
      <x:c r="B182" s="34" t="n">
        <x:v>17100</x:v>
      </x:c>
      <x:c r="C182" s="34" t="n">
        <x:v>212132955</x:v>
      </x:c>
      <x:c r="D182" s="34" t="n">
        <x:v>179</x:v>
      </x:c>
      <x:c r="E182" s="34" t="str">
        <x:v>yPROF</x:v>
      </x:c>
      <x:c r="F182" s="34" t="n">
        <x:v>33908</x:v>
      </x:c>
      <x:c r="G182" s="35" t="n">
        <x:f>IF(C182=0,0,F182/C182*B182)</x:f>
        <x:v>2.73331788547423</x:v>
      </x:c>
    </x:row>
    <x:row r="183">
      <x:c r="A183" s="33" t="str">
        <x:v>Guild Challenge</x:v>
      </x:c>
      <x:c r="B183" s="34" t="n">
        <x:v>17100</x:v>
      </x:c>
      <x:c r="C183" s="34" t="n">
        <x:v>212132955</x:v>
      </x:c>
      <x:c r="D183" s="34" t="n">
        <x:v>180</x:v>
      </x:c>
      <x:c r="E183" s="34" t="str">
        <x:v>SShadowless</x:v>
      </x:c>
      <x:c r="F183" s="34" t="n">
        <x:v>32611</x:v>
      </x:c>
      <x:c r="G183" s="35" t="n">
        <x:f>IF(C183=0,0,F183/C183*B183)</x:f>
        <x:v>2.6287669447681994</x:v>
      </x:c>
    </x:row>
    <x:row r="184">
      <x:c r="A184" s="33" t="str">
        <x:v>Guild Challenge</x:v>
      </x:c>
      <x:c r="B184" s="34" t="n">
        <x:v>17100</x:v>
      </x:c>
      <x:c r="C184" s="34" t="n">
        <x:v>212132955</x:v>
      </x:c>
      <x:c r="D184" s="34" t="n">
        <x:v>181</x:v>
      </x:c>
      <x:c r="E184" s="34" t="str">
        <x:v>xotinhadecoco</x:v>
      </x:c>
      <x:c r="F184" s="34" t="n">
        <x:v>31972</x:v>
      </x:c>
      <x:c r="G184" s="35" t="n">
        <x:f>IF(C184=0,0,F184/C184*B184)</x:f>
        <x:v>2.577257267735699</x:v>
      </x:c>
    </x:row>
    <x:row r="185">
      <x:c r="A185" s="33" t="str">
        <x:v>Guild Challenge</x:v>
      </x:c>
      <x:c r="B185" s="34" t="n">
        <x:v>17100</x:v>
      </x:c>
      <x:c r="C185" s="34" t="n">
        <x:v>212132955</x:v>
      </x:c>
      <x:c r="D185" s="34" t="n">
        <x:v>182</x:v>
      </x:c>
      <x:c r="E185" s="34" t="str">
        <x:v>Spotk</x:v>
      </x:c>
      <x:c r="F185" s="34" t="n">
        <x:v>31846</x:v>
      </x:c>
      <x:c r="G185" s="35" t="n">
        <x:f>IF(C185=0,0,F185/C185*B185)</x:f>
        <x:v>2.5671004300109805</x:v>
      </x:c>
    </x:row>
    <x:row r="186">
      <x:c r="A186" s="33" t="str">
        <x:v>Guild Challenge</x:v>
      </x:c>
      <x:c r="B186" s="34" t="n">
        <x:v>17100</x:v>
      </x:c>
      <x:c r="C186" s="34" t="n">
        <x:v>212132955</x:v>
      </x:c>
      <x:c r="D186" s="34" t="n">
        <x:v>183</x:v>
      </x:c>
      <x:c r="E186" s="34" t="str">
        <x:v>Siriuslx7</x:v>
      </x:c>
      <x:c r="F186" s="34" t="n">
        <x:v>31622</x:v>
      </x:c>
      <x:c r="G186" s="35" t="n">
        <x:f>IF(C186=0,0,F186/C186*B186)</x:f>
        <x:v>2.5490438296114815</x:v>
      </x:c>
    </x:row>
    <x:row r="187">
      <x:c r="A187" s="33" t="str">
        <x:v>Guild Challenge</x:v>
      </x:c>
      <x:c r="B187" s="34" t="n">
        <x:v>17100</x:v>
      </x:c>
      <x:c r="C187" s="34" t="n">
        <x:v>212132955</x:v>
      </x:c>
      <x:c r="D187" s="34" t="n">
        <x:v>184</x:v>
      </x:c>
      <x:c r="E187" s="34" t="str">
        <x:v>JowManojow</x:v>
      </x:c>
      <x:c r="F187" s="34" t="n">
        <x:v>30609</x:v>
      </x:c>
      <x:c r="G187" s="35" t="n">
        <x:f>IF(C187=0,0,F187/C187*B187)</x:f>
        <x:v>2.4673860786976736</x:v>
      </x:c>
    </x:row>
    <x:row r="188">
      <x:c r="A188" s="33" t="str">
        <x:v>Guild Challenge</x:v>
      </x:c>
      <x:c r="B188" s="34" t="n">
        <x:v>17100</x:v>
      </x:c>
      <x:c r="C188" s="34" t="n">
        <x:v>212132955</x:v>
      </x:c>
      <x:c r="D188" s="34" t="n">
        <x:v>185</x:v>
      </x:c>
      <x:c r="E188" s="34" t="str">
        <x:v>elcondopassa</x:v>
      </x:c>
      <x:c r="F188" s="34" t="n">
        <x:v>30062</x:v>
      </x:c>
      <x:c r="G188" s="35" t="n">
        <x:f>IF(C188=0,0,F188/C188*B188)</x:f>
        <x:v>2.4232925054006813</x:v>
      </x:c>
    </x:row>
    <x:row r="189">
      <x:c r="A189" s="33" t="str">
        <x:v>Guild Challenge</x:v>
      </x:c>
      <x:c r="B189" s="34" t="n">
        <x:v>17100</x:v>
      </x:c>
      <x:c r="C189" s="34" t="n">
        <x:v>212132955</x:v>
      </x:c>
      <x:c r="D189" s="34" t="n">
        <x:v>186</x:v>
      </x:c>
      <x:c r="E189" s="34" t="str">
        <x:v>Porquitchona</x:v>
      </x:c>
      <x:c r="F189" s="34" t="n">
        <x:v>27245</x:v>
      </x:c>
      <x:c r="G189" s="35" t="n">
        <x:f>IF(C189=0,0,F189/C189*B189)</x:f>
        <x:v>2.1962146334123336</x:v>
      </x:c>
    </x:row>
    <x:row r="190">
      <x:c r="A190" s="33" t="str">
        <x:v>Guild Challenge</x:v>
      </x:c>
      <x:c r="B190" s="34" t="n">
        <x:v>17100</x:v>
      </x:c>
      <x:c r="C190" s="34" t="n">
        <x:v>212132955</x:v>
      </x:c>
      <x:c r="D190" s="34" t="n">
        <x:v>187</x:v>
      </x:c>
      <x:c r="E190" s="34" t="str">
        <x:v>Thevyr</x:v>
      </x:c>
      <x:c r="F190" s="34" t="n">
        <x:v>25774</x:v>
      </x:c>
      <x:c r="G190" s="35" t="n">
        <x:f>IF(C190=0,0,F190/C190*B190)</x:f>
        <x:v>2.077637583467406</x:v>
      </x:c>
    </x:row>
    <x:row r="191">
      <x:c r="A191" s="33" t="str">
        <x:v>Guild Challenge</x:v>
      </x:c>
      <x:c r="B191" s="34" t="n">
        <x:v>17100</x:v>
      </x:c>
      <x:c r="C191" s="34" t="n">
        <x:v>212132955</x:v>
      </x:c>
      <x:c r="D191" s="34" t="n">
        <x:v>188</x:v>
      </x:c>
      <x:c r="E191" s="34" t="str">
        <x:v>ONEGANO</x:v>
      </x:c>
      <x:c r="F191" s="34" t="n">
        <x:v>25599</x:v>
      </x:c>
      <x:c r="G191" s="35" t="n">
        <x:f>IF(C191=0,0,F191/C191*B191)</x:f>
        <x:v>2.063530864405297</x:v>
      </x:c>
    </x:row>
    <x:row r="192">
      <x:c r="A192" s="33" t="str">
        <x:v>Guild Challenge</x:v>
      </x:c>
      <x:c r="B192" s="34" t="n">
        <x:v>17100</x:v>
      </x:c>
      <x:c r="C192" s="34" t="n">
        <x:v>212132955</x:v>
      </x:c>
      <x:c r="D192" s="34" t="n">
        <x:v>189</x:v>
      </x:c>
      <x:c r="E192" s="34" t="str">
        <x:v>TheBad</x:v>
      </x:c>
      <x:c r="F192" s="34" t="n">
        <x:v>24306</x:v>
      </x:c>
      <x:c r="G192" s="35" t="n">
        <x:f>IF(C192=0,0,F192/C192*B192)</x:f>
        <x:v>1.9593023629921151</x:v>
      </x:c>
    </x:row>
    <x:row r="193">
      <x:c r="A193" s="33" t="str">
        <x:v>Guild Challenge</x:v>
      </x:c>
      <x:c r="B193" s="34" t="n">
        <x:v>17100</x:v>
      </x:c>
      <x:c r="C193" s="34" t="n">
        <x:v>212132955</x:v>
      </x:c>
      <x:c r="D193" s="34" t="n">
        <x:v>190</x:v>
      </x:c>
      <x:c r="E193" s="34" t="str">
        <x:v>bezaina</x:v>
      </x:c>
      <x:c r="F193" s="34" t="n">
        <x:v>23783</x:v>
      </x:c>
      <x:c r="G193" s="35" t="n">
        <x:f>IF(C193=0,0,F193/C193*B193)</x:f>
        <x:v>1.9171434254522124</x:v>
      </x:c>
    </x:row>
    <x:row r="194">
      <x:c r="A194" s="33" t="str">
        <x:v>Guild Challenge</x:v>
      </x:c>
      <x:c r="B194" s="34" t="n">
        <x:v>17100</x:v>
      </x:c>
      <x:c r="C194" s="34" t="n">
        <x:v>212132955</x:v>
      </x:c>
      <x:c r="D194" s="34" t="n">
        <x:v>191</x:v>
      </x:c>
      <x:c r="E194" s="34" t="str">
        <x:v>jotarokunBR78</x:v>
      </x:c>
      <x:c r="F194" s="34" t="n">
        <x:v>23578</x:v>
      </x:c>
      <x:c r="G194" s="35" t="n">
        <x:f>IF(C194=0,0,F194/C194*B194)</x:f>
        <x:v>1.9006184116937417</x:v>
      </x:c>
    </x:row>
    <x:row r="195">
      <x:c r="A195" s="33" t="str">
        <x:v>Guild Challenge</x:v>
      </x:c>
      <x:c r="B195" s="34" t="n">
        <x:v>17100</x:v>
      </x:c>
      <x:c r="C195" s="34" t="n">
        <x:v>212132955</x:v>
      </x:c>
      <x:c r="D195" s="34" t="n">
        <x:v>192</x:v>
      </x:c>
      <x:c r="E195" s="34" t="str">
        <x:v>ImTheBestOf</x:v>
      </x:c>
      <x:c r="F195" s="34" t="n">
        <x:v>23023</x:v>
      </x:c>
      <x:c r="G195" s="35" t="n">
        <x:f>IF(C195=0,0,F195/C195*B195)</x:f>
        <x:v>1.8558799598110534</x:v>
      </x:c>
    </x:row>
    <x:row r="196">
      <x:c r="A196" s="33" t="str">
        <x:v>Guild Challenge</x:v>
      </x:c>
      <x:c r="B196" s="34" t="n">
        <x:v>17100</x:v>
      </x:c>
      <x:c r="C196" s="34" t="n">
        <x:v>212132955</x:v>
      </x:c>
      <x:c r="D196" s="34" t="n">
        <x:v>193</x:v>
      </x:c>
      <x:c r="E196" s="34" t="str">
        <x:v>GLADIADOR</x:v>
      </x:c>
      <x:c r="F196" s="34" t="n">
        <x:v>22396</x:v>
      </x:c>
      <x:c r="G196" s="35" t="n">
        <x:f>IF(C196=0,0,F196/C196*B196)</x:f>
        <x:v>1.8053376006570974</x:v>
      </x:c>
    </x:row>
    <x:row r="197">
      <x:c r="A197" s="33" t="str">
        <x:v>Guild Challenge</x:v>
      </x:c>
      <x:c r="B197" s="34" t="n">
        <x:v>17100</x:v>
      </x:c>
      <x:c r="C197" s="34" t="n">
        <x:v>212132955</x:v>
      </x:c>
      <x:c r="D197" s="34" t="n">
        <x:v>194</x:v>
      </x:c>
      <x:c r="E197" s="34" t="str">
        <x:v>Toolsnew</x:v>
      </x:c>
      <x:c r="F197" s="34" t="n">
        <x:v>22374</x:v>
      </x:c>
      <x:c r="G197" s="35" t="n">
        <x:f>IF(C197=0,0,F197/C197*B197)</x:f>
        <x:v>1.803564184546432</x:v>
      </x:c>
    </x:row>
    <x:row r="198">
      <x:c r="A198" s="33" t="str">
        <x:v>Guild Challenge</x:v>
      </x:c>
      <x:c r="B198" s="34" t="n">
        <x:v>17100</x:v>
      </x:c>
      <x:c r="C198" s="34" t="n">
        <x:v>212132955</x:v>
      </x:c>
      <x:c r="D198" s="34" t="n">
        <x:v>195</x:v>
      </x:c>
      <x:c r="E198" s="34" t="str">
        <x:v>GolpeBaixo</x:v>
      </x:c>
      <x:c r="F198" s="34" t="n">
        <x:v>22144</x:v>
      </x:c>
      <x:c r="G198" s="35" t="n">
        <x:f>IF(C198=0,0,F198/C198*B198)</x:f>
        <x:v>1.7850239252076605</x:v>
      </x:c>
    </x:row>
    <x:row r="199">
      <x:c r="A199" s="33" t="str">
        <x:v>Guild Challenge</x:v>
      </x:c>
      <x:c r="B199" s="34" t="n">
        <x:v>17100</x:v>
      </x:c>
      <x:c r="C199" s="34" t="n">
        <x:v>212132955</x:v>
      </x:c>
      <x:c r="D199" s="34" t="n">
        <x:v>196</x:v>
      </x:c>
      <x:c r="E199" s="34" t="str">
        <x:v>DanyV2</x:v>
      </x:c>
      <x:c r="F199" s="34" t="n">
        <x:v>22021</x:v>
      </x:c>
      <x:c r="G199" s="35" t="n">
        <x:f>IF(C199=0,0,F199/C199*B199)</x:f>
        <x:v>1.7751089169525782</x:v>
      </x:c>
    </x:row>
    <x:row r="200">
      <x:c r="A200" s="33" t="str">
        <x:v>Guild Challenge</x:v>
      </x:c>
      <x:c r="B200" s="34" t="n">
        <x:v>17100</x:v>
      </x:c>
      <x:c r="C200" s="34" t="n">
        <x:v>212132955</x:v>
      </x:c>
      <x:c r="D200" s="34" t="n">
        <x:v>197</x:v>
      </x:c>
      <x:c r="E200" s="34" t="str">
        <x:v>BUNNYYKII</x:v>
      </x:c>
      <x:c r="F200" s="34" t="n">
        <x:v>19811</x:v>
      </x:c>
      <x:c r="G200" s="35" t="n">
        <x:f>IF(C200=0,0,F200/C200*B200)</x:f>
        <x:v>1.596961207653945</x:v>
      </x:c>
    </x:row>
    <x:row r="201">
      <x:c r="A201" s="33" t="str">
        <x:v>Guild Challenge</x:v>
      </x:c>
      <x:c r="B201" s="34" t="n">
        <x:v>17100</x:v>
      </x:c>
      <x:c r="C201" s="34" t="n">
        <x:v>212132955</x:v>
      </x:c>
      <x:c r="D201" s="34" t="n">
        <x:v>198</x:v>
      </x:c>
      <x:c r="E201" s="34" t="str">
        <x:v>jamaiquinha</x:v>
      </x:c>
      <x:c r="F201" s="34" t="n">
        <x:v>19268</x:v>
      </x:c>
      <x:c r="G201" s="35" t="n">
        <x:f>IF(C201=0,0,F201/C201*B201)</x:f>
        <x:v>1.5531900736498014</x:v>
      </x:c>
    </x:row>
    <x:row r="202">
      <x:c r="A202" s="33" t="str">
        <x:v>Guild Challenge</x:v>
      </x:c>
      <x:c r="B202" s="34" t="n">
        <x:v>17100</x:v>
      </x:c>
      <x:c r="C202" s="34" t="n">
        <x:v>212132955</x:v>
      </x:c>
      <x:c r="D202" s="34" t="n">
        <x:v>199</x:v>
      </x:c>
      <x:c r="E202" s="34" t="str">
        <x:v>mknjbh</x:v>
      </x:c>
      <x:c r="F202" s="34" t="n">
        <x:v>19247</x:v>
      </x:c>
      <x:c r="G202" s="35" t="n">
        <x:f>IF(C202=0,0,F202/C202*B202)</x:f>
        <x:v>1.5514972673623482</x:v>
      </x:c>
    </x:row>
    <x:row r="203">
      <x:c r="A203" s="33" t="str">
        <x:v>Guild Challenge</x:v>
      </x:c>
      <x:c r="B203" s="34" t="n">
        <x:v>17100</x:v>
      </x:c>
      <x:c r="C203" s="34" t="n">
        <x:v>212132955</x:v>
      </x:c>
      <x:c r="D203" s="34" t="n">
        <x:v>200</x:v>
      </x:c>
      <x:c r="E203" s="34" t="str">
        <x:v>Caiporaathenari</x:v>
      </x:c>
      <x:c r="F203" s="34" t="n">
        <x:v>18908</x:v>
      </x:c>
      <x:c r="G203" s="35" t="n">
        <x:f>IF(C203=0,0,F203/C203*B203)</x:f>
        <x:v>1.5241705372934629</x:v>
      </x:c>
    </x:row>
    <x:row r="204">
      <x:c r="A204" s="33" t="str">
        <x:v>Guild Challenge</x:v>
      </x:c>
      <x:c r="B204" s="34" t="n">
        <x:v>17100</x:v>
      </x:c>
      <x:c r="C204" s="34" t="n">
        <x:v>212132955</x:v>
      </x:c>
      <x:c r="D204" s="34" t="n">
        <x:v>201</x:v>
      </x:c>
      <x:c r="E204" s="34" t="str">
        <x:v>Miliys</x:v>
      </x:c>
      <x:c r="F204" s="34" t="n">
        <x:v>17656</x:v>
      </x:c>
      <x:c r="G204" s="35" t="n">
        <x:f>IF(C204=0,0,F204/C204*B204)</x:f>
        <x:v>1.4232470386319749</x:v>
      </x:c>
    </x:row>
    <x:row r="205">
      <x:c r="A205" s="33" t="str">
        <x:v>Guild Challenge</x:v>
      </x:c>
      <x:c r="B205" s="34" t="n">
        <x:v>17100</x:v>
      </x:c>
      <x:c r="C205" s="34" t="n">
        <x:v>212132955</x:v>
      </x:c>
      <x:c r="D205" s="34" t="n">
        <x:v>202</x:v>
      </x:c>
      <x:c r="E205" s="34" t="str">
        <x:v>Sekarlatt</x:v>
      </x:c>
      <x:c r="F205" s="34" t="n">
        <x:v>15640</x:v>
      </x:c>
      <x:c r="G205" s="35" t="n">
        <x:f>IF(C205=0,0,F205/C205*B205)</x:f>
        <x:v>1.2607376350364796</x:v>
      </x:c>
    </x:row>
    <x:row r="206">
      <x:c r="A206" s="33" t="str">
        <x:v>Guild Challenge</x:v>
      </x:c>
      <x:c r="B206" s="34" t="n">
        <x:v>17100</x:v>
      </x:c>
      <x:c r="C206" s="34" t="n">
        <x:v>212132955</x:v>
      </x:c>
      <x:c r="D206" s="34" t="n">
        <x:v>203</x:v>
      </x:c>
      <x:c r="E206" s="34" t="str">
        <x:v>DinossauroDino</x:v>
      </x:c>
      <x:c r="F206" s="34" t="n">
        <x:v>14913</x:v>
      </x:c>
      <x:c r="G206" s="35" t="n">
        <x:f>IF(C206=0,0,F206/C206*B206)</x:f>
        <x:v>1.2021342935613188</x:v>
      </x:c>
    </x:row>
    <x:row r="207">
      <x:c r="A207" s="33" t="str">
        <x:v>Guild Challenge</x:v>
      </x:c>
      <x:c r="B207" s="34" t="n">
        <x:v>17100</x:v>
      </x:c>
      <x:c r="C207" s="34" t="n">
        <x:v>212132955</x:v>
      </x:c>
      <x:c r="D207" s="34" t="n">
        <x:v>204</x:v>
      </x:c>
      <x:c r="E207" s="34" t="str">
        <x:v>JJWAR</x:v>
      </x:c>
      <x:c r="F207" s="34" t="n">
        <x:v>13675</x:v>
      </x:c>
      <x:c r="G207" s="35" t="n">
        <x:f>IF(C207=0,0,F207/C207*B207)</x:f>
        <x:v>1.1023393324247994</x:v>
      </x:c>
    </x:row>
    <x:row r="208">
      <x:c r="A208" s="33" t="str">
        <x:v>Guild Challenge</x:v>
      </x:c>
      <x:c r="B208" s="34" t="n">
        <x:v>17100</x:v>
      </x:c>
      <x:c r="C208" s="34" t="n">
        <x:v>212132955</x:v>
      </x:c>
      <x:c r="D208" s="34" t="n">
        <x:v>205</x:v>
      </x:c>
      <x:c r="E208" s="34" t="str">
        <x:v>ROBINHOBINHO</x:v>
      </x:c>
      <x:c r="F208" s="34" t="n">
        <x:v>13595</x:v>
      </x:c>
      <x:c r="G208" s="35" t="n">
        <x:f>IF(C208=0,0,F208/C208*B208)</x:f>
        <x:v>1.0958905465678352</x:v>
      </x:c>
    </x:row>
    <x:row r="209">
      <x:c r="A209" s="33" t="str">
        <x:v>Guild Challenge</x:v>
      </x:c>
      <x:c r="B209" s="34" t="n">
        <x:v>17100</x:v>
      </x:c>
      <x:c r="C209" s="34" t="n">
        <x:v>212132955</x:v>
      </x:c>
      <x:c r="D209" s="34" t="n">
        <x:v>206</x:v>
      </x:c>
      <x:c r="E209" s="34" t="str">
        <x:v>TioTrymmi</x:v>
      </x:c>
      <x:c r="F209" s="34" t="n">
        <x:v>11142</x:v>
      </x:c>
      <x:c r="G209" s="35" t="n">
        <x:f>IF(C209=0,0,F209/C209*B209)</x:f>
        <x:v>0.8981546502286738</x:v>
      </x:c>
    </x:row>
    <x:row r="210">
      <x:c r="A210" s="33" t="str">
        <x:v>Guild Challenge</x:v>
      </x:c>
      <x:c r="B210" s="34" t="n">
        <x:v>17100</x:v>
      </x:c>
      <x:c r="C210" s="34" t="n">
        <x:v>212132955</x:v>
      </x:c>
      <x:c r="D210" s="34" t="n">
        <x:v>207</x:v>
      </x:c>
      <x:c r="E210" s="34" t="str">
        <x:v>totentandojoga</x:v>
      </x:c>
      <x:c r="F210" s="34" t="n">
        <x:v>10831</x:v>
      </x:c>
      <x:c r="G210" s="35" t="n">
        <x:f>IF(C210=0,0,F210/C210*B210)</x:f>
        <x:v>0.8730849952097258</x:v>
      </x:c>
    </x:row>
    <x:row r="211">
      <x:c r="A211" s="33" t="str">
        <x:v>Guild Challenge</x:v>
      </x:c>
      <x:c r="B211" s="34" t="n">
        <x:v>17100</x:v>
      </x:c>
      <x:c r="C211" s="34" t="n">
        <x:v>212132955</x:v>
      </x:c>
      <x:c r="D211" s="34" t="n">
        <x:v>208</x:v>
      </x:c>
      <x:c r="E211" s="34" t="str">
        <x:v>BloodXD</x:v>
      </x:c>
      <x:c r="F211" s="34" t="n">
        <x:v>9848</x:v>
      </x:c>
      <x:c r="G211" s="35" t="n">
        <x:f>IF(C211=0,0,F211/C211*B211)</x:f>
        <x:v>0.7938455389922796</x:v>
      </x:c>
    </x:row>
    <x:row r="212">
      <x:c r="A212" s="33" t="str">
        <x:v>Guild Challenge</x:v>
      </x:c>
      <x:c r="B212" s="34" t="n">
        <x:v>17100</x:v>
      </x:c>
      <x:c r="C212" s="34" t="n">
        <x:v>212132955</x:v>
      </x:c>
      <x:c r="D212" s="34" t="n">
        <x:v>209</x:v>
      </x:c>
      <x:c r="E212" s="34" t="str">
        <x:v>HooLiSheet</x:v>
      </x:c>
      <x:c r="F212" s="34" t="n">
        <x:v>9542</x:v>
      </x:c>
      <x:c r="G212" s="35" t="n">
        <x:f>IF(C212=0,0,F212/C212*B212)</x:f>
        <x:v>0.7691789330893919</x:v>
      </x:c>
    </x:row>
    <x:row r="213">
      <x:c r="A213" s="33" t="str">
        <x:v>Guild Challenge</x:v>
      </x:c>
      <x:c r="B213" s="34" t="n">
        <x:v>17100</x:v>
      </x:c>
      <x:c r="C213" s="34" t="n">
        <x:v>212132955</x:v>
      </x:c>
      <x:c r="D213" s="34" t="n">
        <x:v>210</x:v>
      </x:c>
      <x:c r="E213" s="34" t="str">
        <x:v>ziorni</x:v>
      </x:c>
      <x:c r="F213" s="34" t="n">
        <x:v>8010</x:v>
      </x:c>
      <x:c r="G213" s="35" t="n">
        <x:f>IF(C213=0,0,F213/C213*B213)</x:f>
        <x:v>0.6456846839285296</x:v>
      </x:c>
    </x:row>
    <x:row r="214">
      <x:c r="A214" s="33" t="str">
        <x:v>Guild Challenge</x:v>
      </x:c>
      <x:c r="B214" s="34" t="n">
        <x:v>17100</x:v>
      </x:c>
      <x:c r="C214" s="34" t="n">
        <x:v>212132955</x:v>
      </x:c>
      <x:c r="D214" s="34" t="n">
        <x:v>211</x:v>
      </x:c>
      <x:c r="E214" s="34" t="str">
        <x:v>JaxSlayer</x:v>
      </x:c>
      <x:c r="F214" s="34" t="n">
        <x:v>7729</x:v>
      </x:c>
      <x:c r="G214" s="35" t="n">
        <x:f>IF(C214=0,0,F214/C214*B214)</x:f>
        <x:v>0.6230333236059432</x:v>
      </x:c>
    </x:row>
    <x:row r="215">
      <x:c r="A215" s="33" t="str">
        <x:v>Guild Challenge</x:v>
      </x:c>
      <x:c r="B215" s="34" t="n">
        <x:v>17100</x:v>
      </x:c>
      <x:c r="C215" s="34" t="n">
        <x:v>212132955</x:v>
      </x:c>
      <x:c r="D215" s="34" t="n">
        <x:v>212</x:v>
      </x:c>
      <x:c r="E215" s="34" t="str">
        <x:v>Chapadexx</x:v>
      </x:c>
      <x:c r="F215" s="34" t="n">
        <x:v>6595</x:v>
      </x:c>
      <x:c r="G215" s="35" t="n">
        <x:f>IF(C215=0,0,F215/C215*B215)</x:f>
        <x:v>0.5316217840834773</x:v>
      </x:c>
    </x:row>
    <x:row r="216">
      <x:c r="A216" s="33" t="str">
        <x:v>Guild Challenge</x:v>
      </x:c>
      <x:c r="B216" s="34" t="n">
        <x:v>17100</x:v>
      </x:c>
      <x:c r="C216" s="34" t="n">
        <x:v>212132955</x:v>
      </x:c>
      <x:c r="D216" s="34" t="n">
        <x:v>213</x:v>
      </x:c>
      <x:c r="E216" s="34" t="str">
        <x:v>KalosKirk2</x:v>
      </x:c>
      <x:c r="F216" s="34" t="n">
        <x:v>4842</x:v>
      </x:c>
      <x:c r="G216" s="35" t="n">
        <x:f>IF(C216=0,0,F216/C216*B216)</x:f>
        <x:v>0.39031276399275167</x:v>
      </x:c>
    </x:row>
    <x:row r="217">
      <x:c r="A217" s="33" t="str">
        <x:v>Guild Challenge</x:v>
      </x:c>
      <x:c r="B217" s="34" t="n">
        <x:v>17100</x:v>
      </x:c>
      <x:c r="C217" s="34" t="n">
        <x:v>212132955</x:v>
      </x:c>
      <x:c r="D217" s="34" t="n">
        <x:v>214</x:v>
      </x:c>
      <x:c r="E217" s="34" t="str">
        <x:v>kingjolas</x:v>
      </x:c>
      <x:c r="F217" s="34" t="n">
        <x:v>4773</x:v>
      </x:c>
      <x:c r="G217" s="35" t="n">
        <x:f>IF(C217=0,0,F217/C217*B217)</x:f>
        <x:v>0.38475068619112013</x:v>
      </x:c>
    </x:row>
    <x:row r="218">
      <x:c r="A218" s="33" t="str">
        <x:v>Guild Challenge</x:v>
      </x:c>
      <x:c r="B218" s="34" t="n">
        <x:v>17100</x:v>
      </x:c>
      <x:c r="C218" s="34" t="n">
        <x:v>212132955</x:v>
      </x:c>
      <x:c r="D218" s="34" t="n">
        <x:v>215</x:v>
      </x:c>
      <x:c r="E218" s="34" t="str">
        <x:v>OldEleven11</x:v>
      </x:c>
      <x:c r="F218" s="34" t="n">
        <x:v>4526</x:v>
      </x:c>
      <x:c r="G218" s="35" t="n">
        <x:f>IF(C218=0,0,F218/C218*B218)</x:f>
        <x:v>0.3648400598577435</x:v>
      </x:c>
    </x:row>
    <x:row r="219">
      <x:c r="A219" s="33" t="str">
        <x:v>Guild Challenge</x:v>
      </x:c>
      <x:c r="B219" s="34" t="n">
        <x:v>17100</x:v>
      </x:c>
      <x:c r="C219" s="34" t="n">
        <x:v>212132955</x:v>
      </x:c>
      <x:c r="D219" s="34" t="n">
        <x:v>216</x:v>
      </x:c>
      <x:c r="E219" s="34" t="str">
        <x:v>OskiGoat</x:v>
      </x:c>
      <x:c r="F219" s="34" t="n">
        <x:v>4428</x:v>
      </x:c>
      <x:c r="G219" s="35" t="n">
        <x:f>IF(C219=0,0,F219/C219*B219)</x:f>
        <x:v>0.3569402971829625</x:v>
      </x:c>
    </x:row>
    <x:row r="220">
      <x:c r="A220" s="33" t="str">
        <x:v>Guild Challenge</x:v>
      </x:c>
      <x:c r="B220" s="34" t="n">
        <x:v>17100</x:v>
      </x:c>
      <x:c r="C220" s="34" t="n">
        <x:v>212132955</x:v>
      </x:c>
      <x:c r="D220" s="34" t="n">
        <x:v>217</x:v>
      </x:c>
      <x:c r="E220" s="34" t="str">
        <x:v>NicoleHellmann</x:v>
      </x:c>
      <x:c r="F220" s="34" t="n">
        <x:v>4297</x:v>
      </x:c>
      <x:c r="G220" s="35" t="n">
        <x:f>IF(C220=0,0,F220/C220*B220)</x:f>
        <x:v>0.34638041034218375</x:v>
      </x:c>
    </x:row>
    <x:row r="221">
      <x:c r="A221" s="33" t="str">
        <x:v>Guild Challenge</x:v>
      </x:c>
      <x:c r="B221" s="34" t="n">
        <x:v>17100</x:v>
      </x:c>
      <x:c r="C221" s="34" t="n">
        <x:v>212132955</x:v>
      </x:c>
      <x:c r="D221" s="34" t="n">
        <x:v>218</x:v>
      </x:c>
      <x:c r="E221" s="34" t="str">
        <x:v>Austrix</x:v>
      </x:c>
      <x:c r="F221" s="34" t="n">
        <x:v>3908</x:v>
      </x:c>
      <x:c r="G221" s="35" t="n">
        <x:f>IF(C221=0,0,F221/C221*B221)</x:f>
        <x:v>0.31502318911269583</x:v>
      </x:c>
    </x:row>
    <x:row r="222">
      <x:c r="A222" s="33" t="str">
        <x:v>Guild Challenge</x:v>
      </x:c>
      <x:c r="B222" s="34" t="n">
        <x:v>17100</x:v>
      </x:c>
      <x:c r="C222" s="34" t="n">
        <x:v>212132955</x:v>
      </x:c>
      <x:c r="D222" s="34" t="n">
        <x:v>219</x:v>
      </x:c>
      <x:c r="E222" s="34" t="str">
        <x:v>Blackflare</x:v>
      </x:c>
      <x:c r="F222" s="34" t="n">
        <x:v>3802</x:v>
      </x:c>
      <x:c r="G222" s="35" t="n">
        <x:f>IF(C222=0,0,F222/C222*B222)</x:f>
        <x:v>0.30647854785221845</x:v>
      </x:c>
    </x:row>
    <x:row r="223">
      <x:c r="A223" s="33" t="str">
        <x:v>Guild Challenge</x:v>
      </x:c>
      <x:c r="B223" s="34" t="n">
        <x:v>17100</x:v>
      </x:c>
      <x:c r="C223" s="34" t="n">
        <x:v>212132955</x:v>
      </x:c>
      <x:c r="D223" s="34" t="n">
        <x:v>220</x:v>
      </x:c>
      <x:c r="E223" s="34" t="str">
        <x:v>JORJAO</x:v>
      </x:c>
      <x:c r="F223" s="34" t="n">
        <x:v>3548</x:v>
      </x:c>
      <x:c r="G223" s="35" t="n">
        <x:f>IF(C223=0,0,F223/C223*B223)</x:f>
        <x:v>0.2860036527563575</x:v>
      </x:c>
    </x:row>
    <x:row r="224">
      <x:c r="A224" s="33" t="str">
        <x:v>Guild Challenge</x:v>
      </x:c>
      <x:c r="B224" s="34" t="n">
        <x:v>17100</x:v>
      </x:c>
      <x:c r="C224" s="34" t="n">
        <x:v>212132955</x:v>
      </x:c>
      <x:c r="D224" s="34" t="n">
        <x:v>221</x:v>
      </x:c>
      <x:c r="E224" s="34" t="str">
        <x:v>Bigodediarame</x:v>
      </x:c>
      <x:c r="F224" s="34" t="n">
        <x:v>3447</x:v>
      </x:c>
      <x:c r="G224" s="35" t="n">
        <x:f>IF(C224=0,0,F224/C224*B224)</x:f>
        <x:v>0.2778620606119403</x:v>
      </x:c>
    </x:row>
    <x:row r="225">
      <x:c r="A225" s="33" t="str">
        <x:v>Guild Challenge</x:v>
      </x:c>
      <x:c r="B225" s="34" t="n">
        <x:v>17100</x:v>
      </x:c>
      <x:c r="C225" s="34" t="n">
        <x:v>212132955</x:v>
      </x:c>
      <x:c r="D225" s="34" t="n">
        <x:v>222</x:v>
      </x:c>
      <x:c r="E225" s="34" t="str">
        <x:v>Lusitano</x:v>
      </x:c>
      <x:c r="F225" s="34" t="n">
        <x:v>3375</x:v>
      </x:c>
      <x:c r="G225" s="35" t="n">
        <x:f>IF(C225=0,0,F225/C225*B225)</x:f>
        <x:v>0.2720581533406726</x:v>
      </x:c>
    </x:row>
    <x:row r="226">
      <x:c r="A226" s="33" t="str">
        <x:v>Guild Challenge</x:v>
      </x:c>
      <x:c r="B226" s="34" t="n">
        <x:v>17100</x:v>
      </x:c>
      <x:c r="C226" s="34" t="n">
        <x:v>212132955</x:v>
      </x:c>
      <x:c r="D226" s="34" t="n">
        <x:v>223</x:v>
      </x:c>
      <x:c r="E226" s="34" t="str">
        <x:v>garotadeprograma</x:v>
      </x:c>
      <x:c r="F226" s="34" t="n">
        <x:v>3197</x:v>
      </x:c>
      <x:c r="G226" s="35" t="n">
        <x:f>IF(C226=0,0,F226/C226*B226)</x:f>
        <x:v>0.2577096048089275</x:v>
      </x:c>
    </x:row>
    <x:row r="227">
      <x:c r="A227" s="33" t="str">
        <x:v>Guild Challenge</x:v>
      </x:c>
      <x:c r="B227" s="34" t="n">
        <x:v>17100</x:v>
      </x:c>
      <x:c r="C227" s="34" t="n">
        <x:v>212132955</x:v>
      </x:c>
      <x:c r="D227" s="34" t="n">
        <x:v>224</x:v>
      </x:c>
      <x:c r="E227" s="34" t="str">
        <x:v>Sracriola</x:v>
      </x:c>
      <x:c r="F227" s="34" t="n">
        <x:v>2964</x:v>
      </x:c>
      <x:c r="G227" s="35" t="n">
        <x:f>IF(C227=0,0,F227/C227*B227)</x:f>
        <x:v>0.2389275160005196</x:v>
      </x:c>
    </x:row>
    <x:row r="228">
      <x:c r="A228" s="33" t="str">
        <x:v>Guild Challenge</x:v>
      </x:c>
      <x:c r="B228" s="34" t="n">
        <x:v>17100</x:v>
      </x:c>
      <x:c r="C228" s="34" t="n">
        <x:v>212132955</x:v>
      </x:c>
      <x:c r="D228" s="34" t="n">
        <x:v>225</x:v>
      </x:c>
      <x:c r="E228" s="34" t="str">
        <x:v>nnnnnpox</x:v>
      </x:c>
      <x:c r="F228" s="34" t="n">
        <x:v>2680</x:v>
      </x:c>
      <x:c r="G228" s="35" t="n">
        <x:f>IF(C228=0,0,F228/C228*B228)</x:f>
        <x:v>0.21603432620829707</x:v>
      </x:c>
    </x:row>
    <x:row r="229">
      <x:c r="A229" s="33" t="str">
        <x:v>Guild Challenge</x:v>
      </x:c>
      <x:c r="B229" s="34" t="n">
        <x:v>17100</x:v>
      </x:c>
      <x:c r="C229" s="34" t="n">
        <x:v>212132955</x:v>
      </x:c>
      <x:c r="D229" s="34" t="n">
        <x:v>226</x:v>
      </x:c>
      <x:c r="E229" s="34" t="str">
        <x:v>MRyeezy007</x:v>
      </x:c>
      <x:c r="F229" s="34" t="n">
        <x:v>2436</x:v>
      </x:c>
      <x:c r="G229" s="35" t="n">
        <x:f>IF(C229=0,0,F229/C229*B229)</x:f>
        <x:v>0.19636552934455656</x:v>
      </x:c>
    </x:row>
    <x:row r="230">
      <x:c r="A230" s="33" t="str">
        <x:v>Guild Challenge</x:v>
      </x:c>
      <x:c r="B230" s="34" t="n">
        <x:v>17100</x:v>
      </x:c>
      <x:c r="C230" s="34" t="n">
        <x:v>212132955</x:v>
      </x:c>
      <x:c r="D230" s="34" t="n">
        <x:v>227</x:v>
      </x:c>
      <x:c r="E230" s="34" t="str">
        <x:v>FVZX</x:v>
      </x:c>
      <x:c r="F230" s="34" t="n">
        <x:v>2408</x:v>
      </x:c>
      <x:c r="G230" s="35" t="n">
        <x:f>IF(C230=0,0,F230/C230*B230)</x:f>
        <x:v>0.19410845429461912</x:v>
      </x:c>
    </x:row>
    <x:row r="231">
      <x:c r="A231" s="33" t="str">
        <x:v>Guild Challenge</x:v>
      </x:c>
      <x:c r="B231" s="34" t="n">
        <x:v>17100</x:v>
      </x:c>
      <x:c r="C231" s="34" t="n">
        <x:v>212132955</x:v>
      </x:c>
      <x:c r="D231" s="34" t="n">
        <x:v>228</x:v>
      </x:c>
      <x:c r="E231" s="34" t="str">
        <x:v>RAPARIG4</x:v>
      </x:c>
      <x:c r="F231" s="34" t="n">
        <x:v>2160</x:v>
      </x:c>
      <x:c r="G231" s="35" t="n">
        <x:f>IF(C231=0,0,F231/C231*B231)</x:f>
        <x:v>0.17411721813803047</x:v>
      </x:c>
    </x:row>
    <x:row r="232">
      <x:c r="A232" s="33" t="str">
        <x:v>Guild Challenge</x:v>
      </x:c>
      <x:c r="B232" s="34" t="n">
        <x:v>17100</x:v>
      </x:c>
      <x:c r="C232" s="34" t="n">
        <x:v>212132955</x:v>
      </x:c>
      <x:c r="D232" s="34" t="n">
        <x:v>229</x:v>
      </x:c>
      <x:c r="E232" s="34" t="str">
        <x:v>SainorViking</x:v>
      </x:c>
      <x:c r="F232" s="34" t="n">
        <x:v>2035</x:v>
      </x:c>
      <x:c r="G232" s="35" t="n">
        <x:f>IF(C232=0,0,F232/C232*B232)</x:f>
        <x:v>0.16404099023652408</x:v>
      </x:c>
    </x:row>
    <x:row r="233">
      <x:c r="A233" s="33" t="str">
        <x:v>Guild Challenge</x:v>
      </x:c>
      <x:c r="B233" s="34" t="n">
        <x:v>17100</x:v>
      </x:c>
      <x:c r="C233" s="34" t="n">
        <x:v>212132955</x:v>
      </x:c>
      <x:c r="D233" s="34" t="n">
        <x:v>230</x:v>
      </x:c>
      <x:c r="E233" s="34" t="str">
        <x:v>ArmandoTeles</x:v>
      </x:c>
      <x:c r="F233" s="34" t="n">
        <x:v>1871</x:v>
      </x:c>
      <x:c r="G233" s="35" t="n">
        <x:f>IF(C233=0,0,F233/C233*B233)</x:f>
        <x:v>0.1508209792297477</x:v>
      </x:c>
    </x:row>
    <x:row r="234">
      <x:c r="A234" s="33" t="str">
        <x:v>Guild Challenge</x:v>
      </x:c>
      <x:c r="B234" s="34" t="n">
        <x:v>17100</x:v>
      </x:c>
      <x:c r="C234" s="34" t="n">
        <x:v>212132955</x:v>
      </x:c>
      <x:c r="D234" s="34" t="n">
        <x:v>231</x:v>
      </x:c>
      <x:c r="E234" s="34" t="str">
        <x:v>J061H</x:v>
      </x:c>
      <x:c r="F234" s="34" t="n">
        <x:v>1783</x:v>
      </x:c>
      <x:c r="G234" s="35" t="n">
        <x:f>IF(C234=0,0,F234/C234*B234)</x:f>
        <x:v>0.1437273147870872</x:v>
      </x:c>
    </x:row>
    <x:row r="235">
      <x:c r="A235" s="33" t="str">
        <x:v>Guild Challenge</x:v>
      </x:c>
      <x:c r="B235" s="34" t="n">
        <x:v>17100</x:v>
      </x:c>
      <x:c r="C235" s="34" t="n">
        <x:v>212132955</x:v>
      </x:c>
      <x:c r="D235" s="34" t="n">
        <x:v>232</x:v>
      </x:c>
      <x:c r="E235" s="34" t="str">
        <x:v>Margitomen</x:v>
      </x:c>
      <x:c r="F235" s="34" t="n">
        <x:v>1564</x:v>
      </x:c>
      <x:c r="G235" s="35" t="n">
        <x:f>IF(C235=0,0,F235/C235*B235)</x:f>
        <x:v>0.126073763503648</x:v>
      </x:c>
    </x:row>
    <x:row r="236">
      <x:c r="A236" s="33" t="str">
        <x:v>Guild Challenge</x:v>
      </x:c>
      <x:c r="B236" s="34" t="n">
        <x:v>17100</x:v>
      </x:c>
      <x:c r="C236" s="34" t="n">
        <x:v>212132955</x:v>
      </x:c>
      <x:c r="D236" s="34" t="n">
        <x:v>233</x:v>
      </x:c>
      <x:c r="E236" s="34" t="str">
        <x:v>BufasPT</x:v>
      </x:c>
      <x:c r="F236" s="34" t="n">
        <x:v>1476</x:v>
      </x:c>
      <x:c r="G236" s="35" t="n">
        <x:f>IF(C236=0,0,F236/C236*B236)</x:f>
        <x:v>0.11898009906098748</x:v>
      </x:c>
    </x:row>
    <x:row r="237">
      <x:c r="A237" s="33" t="str">
        <x:v>Guild Challenge</x:v>
      </x:c>
      <x:c r="B237" s="34" t="n">
        <x:v>17100</x:v>
      </x:c>
      <x:c r="C237" s="34" t="n">
        <x:v>212132955</x:v>
      </x:c>
      <x:c r="D237" s="34" t="n">
        <x:v>234</x:v>
      </x:c>
      <x:c r="E237" s="34" t="str">
        <x:v>DeadlySnake</x:v>
      </x:c>
      <x:c r="F237" s="34" t="n">
        <x:v>1411</x:v>
      </x:c>
      <x:c r="G237" s="35" t="n">
        <x:f>IF(C237=0,0,F237/C237*B237)</x:f>
        <x:v>0.11374046055220416</x:v>
      </x:c>
    </x:row>
    <x:row r="238">
      <x:c r="A238" s="33" t="str">
        <x:v>Guild Challenge</x:v>
      </x:c>
      <x:c r="B238" s="34" t="n">
        <x:v>17100</x:v>
      </x:c>
      <x:c r="C238" s="34" t="n">
        <x:v>212132955</x:v>
      </x:c>
      <x:c r="D238" s="34" t="n">
        <x:v>235</x:v>
      </x:c>
      <x:c r="E238" s="34" t="str">
        <x:v>Soamaldioado</x:v>
      </x:c>
      <x:c r="F238" s="34" t="n">
        <x:v>1250</x:v>
      </x:c>
      <x:c r="G238" s="35" t="n">
        <x:f>IF(C238=0,0,F238/C238*B238)</x:f>
        <x:v>0.10076227901506392</x:v>
      </x:c>
    </x:row>
    <x:row r="239">
      <x:c r="A239" s="33" t="str">
        <x:v>Guild Challenge</x:v>
      </x:c>
      <x:c r="B239" s="34" t="n">
        <x:v>17100</x:v>
      </x:c>
      <x:c r="C239" s="34" t="n">
        <x:v>212132955</x:v>
      </x:c>
      <x:c r="D239" s="34" t="n">
        <x:v>236</x:v>
      </x:c>
      <x:c r="E239" s="34" t="str">
        <x:v>BotaAcara</x:v>
      </x:c>
      <x:c r="F239" s="34" t="n">
        <x:v>820</x:v>
      </x:c>
      <x:c r="G239" s="35" t="n">
        <x:f>IF(C239=0,0,F239/C239*B239)</x:f>
        <x:v>0.06610005503388194</x:v>
      </x:c>
    </x:row>
    <x:row r="240">
      <x:c r="A240" s="33" t="str">
        <x:v>Guild Challenge</x:v>
      </x:c>
      <x:c r="B240" s="34" t="n">
        <x:v>17100</x:v>
      </x:c>
      <x:c r="C240" s="34" t="n">
        <x:v>212132955</x:v>
      </x:c>
      <x:c r="D240" s="34" t="n">
        <x:v>237</x:v>
      </x:c>
      <x:c r="E240" s="34" t="str">
        <x:v>ElizabethR</x:v>
      </x:c>
      <x:c r="F240" s="34" t="n">
        <x:v>249</x:v>
      </x:c>
      <x:c r="G240" s="35" t="n">
        <x:f>IF(C240=0,0,F240/C240*B240)</x:f>
        <x:v>0.020071845979800735</x:v>
      </x:c>
    </x:row>
    <x:row r="241">
      <x:c r="A241" s="33" t="str">
        <x:v>Guild Challenge</x:v>
      </x:c>
      <x:c r="B241" s="34" t="n">
        <x:v>17100</x:v>
      </x:c>
      <x:c r="C241" s="34" t="n">
        <x:v>212132955</x:v>
      </x:c>
      <x:c r="D241" s="34" t="n">
        <x:v>238</x:v>
      </x:c>
      <x:c r="E241" s="34" t="str">
        <x:v>tokaszi</x:v>
      </x:c>
      <x:c r="F241" s="34" t="n">
        <x:v>214</x:v>
      </x:c>
      <x:c r="G241" s="35" t="n">
        <x:f>IF(C241=0,0,F241/C241*B241)</x:f>
        <x:v>0.01725050216737894</x:v>
      </x:c>
    </x:row>
    <x:row r="242">
      <x:c r="A242" s="33" t="str">
        <x:v>Guild Challenge</x:v>
      </x:c>
      <x:c r="B242" s="34" t="n">
        <x:v>17100</x:v>
      </x:c>
      <x:c r="C242" s="34" t="n">
        <x:v>212132955</x:v>
      </x:c>
      <x:c r="D242" s="34" t="n">
        <x:v>239</x:v>
      </x:c>
      <x:c r="E242" s="34" t="str">
        <x:v>SHEIKdOPONTILHAO</x:v>
      </x:c>
      <x:c r="F242" s="34" t="n">
        <x:v>58</x:v>
      </x:c>
      <x:c r="G242" s="35" t="n">
        <x:f>IF(C242=0,0,F242/C242*B242)</x:f>
        <x:v>0.004675369746298966</x:v>
      </x:c>
    </x:row>
    <x:row r="243">
      <x:c r="A243" s="33" t="str">
        <x:v>Guild Challenge</x:v>
      </x:c>
      <x:c r="B243" s="34" t="n">
        <x:v>17100</x:v>
      </x:c>
      <x:c r="C243" s="34" t="n">
        <x:v>212132955</x:v>
      </x:c>
      <x:c r="D243" s="34" t="n">
        <x:v>240</x:v>
      </x:c>
      <x:c r="E243" s="34" t="str">
        <x:v>Hitsukan</x:v>
      </x:c>
      <x:c r="F243" s="34" t="n">
        <x:v>30</x:v>
      </x:c>
      <x:c r="G243" s="35" t="n">
        <x:f>IF(C243=0,0,F243/C243*B243)</x:f>
        <x:v>0.0024182946963615345</x:v>
      </x:c>
    </x:row>
    <x:row r="244">
      <x:c r="A244" s="33" t="str">
        <x:v>Guild Challenge</x:v>
      </x:c>
      <x:c r="B244" s="34" t="n">
        <x:v>17100</x:v>
      </x:c>
      <x:c r="C244" s="34" t="n">
        <x:v>212132955</x:v>
      </x:c>
      <x:c r="D244" s="34" t="n">
        <x:v>241</x:v>
      </x:c>
      <x:c r="E244" s="34" t="str">
        <x:v>lord3444</x:v>
      </x:c>
      <x:c r="F244" s="34" t="n">
        <x:v>27</x:v>
      </x:c>
      <x:c r="G244" s="35" t="n">
        <x:f>IF(C244=0,0,F244/C244*B244)</x:f>
        <x:v>0.0021764652267253805</x:v>
      </x:c>
    </x:row>
    <x:row r="245">
      <x:c r="A245" s="33" t="str">
        <x:v>Guild Challenge</x:v>
      </x:c>
      <x:c r="B245" s="34" t="n">
        <x:v>17100</x:v>
      </x:c>
      <x:c r="C245" s="34" t="n">
        <x:v>212132955</x:v>
      </x:c>
      <x:c r="D245" s="34" t="n">
        <x:v>242</x:v>
      </x:c>
      <x:c r="E245" s="34" t="str">
        <x:v>Avelha</x:v>
      </x:c>
      <x:c r="F245" s="34" t="n">
        <x:v>0</x:v>
      </x:c>
      <x:c r="G245" s="35" t="n">
        <x:f>IF(C245=0,0,F245/C245*B245)</x:f>
        <x:v>0</x:v>
      </x:c>
    </x:row>
    <x:row r="246">
      <x:c r="A246" s="33" t="str">
        <x:v>Guild Challenge</x:v>
      </x:c>
      <x:c r="B246" s="34" t="n">
        <x:v>17100</x:v>
      </x:c>
      <x:c r="C246" s="34" t="n">
        <x:v>212132955</x:v>
      </x:c>
      <x:c r="D246" s="34" t="n">
        <x:v>243</x:v>
      </x:c>
      <x:c r="E246" s="34" t="str">
        <x:v>HromeuPint0</x:v>
      </x:c>
      <x:c r="F246" s="34" t="n">
        <x:v>0</x:v>
      </x:c>
      <x:c r="G246" s="35" t="n">
        <x:f>IF(C246=0,0,F246/C246*B246)</x:f>
        <x:v>0</x:v>
      </x:c>
    </x:row>
    <x:row r="247">
      <x:c r="A247" s="33" t="str">
        <x:v>Guild Challenge</x:v>
      </x:c>
      <x:c r="B247" s="34" t="n">
        <x:v>17100</x:v>
      </x:c>
      <x:c r="C247" s="34" t="n">
        <x:v>212132955</x:v>
      </x:c>
      <x:c r="D247" s="34" t="n">
        <x:v>244</x:v>
      </x:c>
      <x:c r="E247" s="34" t="str">
        <x:v>Phomi</x:v>
      </x:c>
      <x:c r="F247" s="34" t="n">
        <x:v>0</x:v>
      </x:c>
      <x:c r="G247" s="35" t="n">
        <x:f>IF(C247=0,0,F247/C247*B247)</x:f>
        <x:v>0</x:v>
      </x:c>
    </x:row>
    <x:row r="248">
      <x:c r="A248" s="33" t="str">
        <x:v>Guild Challenge</x:v>
      </x:c>
      <x:c r="B248" s="34" t="n">
        <x:v>17100</x:v>
      </x:c>
      <x:c r="C248" s="34" t="n">
        <x:v>212132955</x:v>
      </x:c>
      <x:c r="D248" s="34" t="n">
        <x:v>245</x:v>
      </x:c>
      <x:c r="E248" s="34" t="str">
        <x:v>St4ayawayfromme</x:v>
      </x:c>
      <x:c r="F248" s="34" t="n">
        <x:v>0</x:v>
      </x:c>
      <x:c r="G248" s="35" t="n">
        <x:f>IF(C248=0,0,F248/C248*B248)</x:f>
        <x:v>0</x:v>
      </x:c>
    </x:row>
    <x:row r="249">
      <x:c r="A249" s="33" t="str">
        <x:v>Guild Challenge</x:v>
      </x:c>
      <x:c r="B249" s="34" t="n">
        <x:v>17100</x:v>
      </x:c>
      <x:c r="C249" s="34" t="n">
        <x:v>212132955</x:v>
      </x:c>
      <x:c r="D249" s="34" t="n">
        <x:v>246</x:v>
      </x:c>
      <x:c r="E249" s="34" t="str">
        <x:v>AmadaFoka</x:v>
      </x:c>
      <x:c r="F249" s="34" t="n">
        <x:v>0</x:v>
      </x:c>
      <x:c r="G249" s="35" t="n">
        <x:f>IF(C249=0,0,F249/C249*B249)</x:f>
        <x:v>0</x:v>
      </x:c>
    </x:row>
    <x:row r="250">
      <x:c r="A250" s="33" t="str">
        <x:v>Guild Challenge</x:v>
      </x:c>
      <x:c r="B250" s="34" t="n">
        <x:v>17100</x:v>
      </x:c>
      <x:c r="C250" s="34" t="n">
        <x:v>212132955</x:v>
      </x:c>
      <x:c r="D250" s="34" t="n">
        <x:v>247</x:v>
      </x:c>
      <x:c r="E250" s="34" t="str">
        <x:v>CARLGALAGHER</x:v>
      </x:c>
      <x:c r="F250" s="34" t="n">
        <x:v>0</x:v>
      </x:c>
      <x:c r="G250" s="35" t="n">
        <x:f>IF(C250=0,0,F250/C250*B250)</x:f>
        <x:v>0</x:v>
      </x:c>
    </x:row>
    <x:row r="251">
      <x:c r="A251" s="33" t="str">
        <x:v>Guild Challenge</x:v>
      </x:c>
      <x:c r="B251" s="34" t="n">
        <x:v>17100</x:v>
      </x:c>
      <x:c r="C251" s="34" t="n">
        <x:v>212132955</x:v>
      </x:c>
      <x:c r="D251" s="34" t="n">
        <x:v>248</x:v>
      </x:c>
      <x:c r="E251" s="34" t="str">
        <x:v>TheOneSinx</x:v>
      </x:c>
      <x:c r="F251" s="34" t="n">
        <x:v>0</x:v>
      </x:c>
      <x:c r="G251" s="35" t="n">
        <x:f>IF(C251=0,0,F251/C251*B251)</x:f>
        <x:v>0</x:v>
      </x:c>
    </x:row>
    <x:row r="252">
      <x:c r="A252" s="33" t="str">
        <x:v>Guild Challenge</x:v>
      </x:c>
      <x:c r="B252" s="34" t="n">
        <x:v>17100</x:v>
      </x:c>
      <x:c r="C252" s="34" t="n">
        <x:v>212132955</x:v>
      </x:c>
      <x:c r="D252" s="34" t="n">
        <x:v>249</x:v>
      </x:c>
      <x:c r="E252" s="34" t="str">
        <x:v>Caxa01</x:v>
      </x:c>
      <x:c r="F252" s="34" t="n">
        <x:v>0</x:v>
      </x:c>
      <x:c r="G252" s="35" t="n">
        <x:f>IF(C252=0,0,F252/C252*B252)</x:f>
        <x:v>0</x:v>
      </x:c>
    </x:row>
    <x:row r="253">
      <x:c r="A253" s="33" t="str">
        <x:v>Guild Challenge</x:v>
      </x:c>
      <x:c r="B253" s="34" t="n">
        <x:v>17100</x:v>
      </x:c>
      <x:c r="C253" s="34" t="n">
        <x:v>212132955</x:v>
      </x:c>
      <x:c r="D253" s="34" t="n">
        <x:v>250</x:v>
      </x:c>
      <x:c r="E253" s="34" t="str">
        <x:v>tistaoo</x:v>
      </x:c>
      <x:c r="F253" s="34" t="n">
        <x:v>0</x:v>
      </x:c>
      <x:c r="G253" s="35" t="n">
        <x:f>IF(C253=0,0,F253/C253*B253)</x:f>
        <x:v>0</x:v>
      </x:c>
    </x:row>
    <x:row r="254">
      <x:c r="A254" s="33" t="str">
        <x:v>Guild Challenge</x:v>
      </x:c>
      <x:c r="B254" s="34" t="n">
        <x:v>17100</x:v>
      </x:c>
      <x:c r="C254" s="34" t="n">
        <x:v>212132955</x:v>
      </x:c>
      <x:c r="D254" s="34" t="n">
        <x:v>251</x:v>
      </x:c>
      <x:c r="E254" s="34" t="str">
        <x:v>ShobbyYeti</x:v>
      </x:c>
      <x:c r="F254" s="34" t="n">
        <x:v>0</x:v>
      </x:c>
      <x:c r="G254" s="35" t="n">
        <x:f>IF(C254=0,0,F254/C254*B254)</x:f>
        <x:v>0</x:v>
      </x:c>
    </x:row>
    <x:row r="255">
      <x:c r="A255" s="33" t="str">
        <x:v>Guild Challenge</x:v>
      </x:c>
      <x:c r="B255" s="34" t="n">
        <x:v>17100</x:v>
      </x:c>
      <x:c r="C255" s="34" t="n">
        <x:v>212132955</x:v>
      </x:c>
      <x:c r="D255" s="34" t="n">
        <x:v>252</x:v>
      </x:c>
      <x:c r="E255" s="34" t="str">
        <x:v>Hlinha2</x:v>
      </x:c>
      <x:c r="F255" s="34" t="n">
        <x:v>0</x:v>
      </x:c>
      <x:c r="G255" s="35" t="n">
        <x:f>IF(C255=0,0,F255/C255*B255)</x:f>
        <x:v>0</x:v>
      </x:c>
    </x:row>
    <x:row r="256">
      <x:c r="A256" s="33" t="str">
        <x:v>Guild Challenge</x:v>
      </x:c>
      <x:c r="B256" s="34" t="n">
        <x:v>17100</x:v>
      </x:c>
      <x:c r="C256" s="34" t="n">
        <x:v>212132955</x:v>
      </x:c>
      <x:c r="D256" s="34" t="n">
        <x:v>253</x:v>
      </x:c>
      <x:c r="E256" s="34" t="str">
        <x:v>SucoDeFruta</x:v>
      </x:c>
      <x:c r="F256" s="34" t="n">
        <x:v>0</x:v>
      </x:c>
      <x:c r="G256" s="35" t="n">
        <x:f>IF(C256=0,0,F256/C256*B256)</x:f>
        <x:v>0</x:v>
      </x:c>
    </x:row>
    <x:row r="257">
      <x:c r="A257" s="33" t="str">
        <x:v>Guild Challenge</x:v>
      </x:c>
      <x:c r="B257" s="34" t="n">
        <x:v>17100</x:v>
      </x:c>
      <x:c r="C257" s="34" t="n">
        <x:v>212132955</x:v>
      </x:c>
      <x:c r="D257" s="34" t="n">
        <x:v>254</x:v>
      </x:c>
      <x:c r="E257" s="34" t="str">
        <x:v>OReiDoGado</x:v>
      </x:c>
      <x:c r="F257" s="34" t="n">
        <x:v>0</x:v>
      </x:c>
      <x:c r="G257" s="35" t="n">
        <x:f>IF(C257=0,0,F257/C257*B257)</x:f>
        <x:v>0</x:v>
      </x:c>
    </x:row>
    <x:row r="258">
      <x:c r="A258" s="33" t="str">
        <x:v>Guild Challenge</x:v>
      </x:c>
      <x:c r="B258" s="34" t="n">
        <x:v>17100</x:v>
      </x:c>
      <x:c r="C258" s="34" t="n">
        <x:v>212132955</x:v>
      </x:c>
      <x:c r="D258" s="34" t="n">
        <x:v>255</x:v>
      </x:c>
      <x:c r="E258" s="34" t="str">
        <x:v>user01Ouser</x:v>
      </x:c>
      <x:c r="F258" s="34" t="n">
        <x:v>0</x:v>
      </x:c>
      <x:c r="G258" s="35" t="n">
        <x:f>IF(C258=0,0,F258/C258*B258)</x:f>
        <x:v>0</x:v>
      </x:c>
    </x:row>
    <x:row r="259">
      <x:c r="A259" s="33" t="str">
        <x:v>Guild Challenge</x:v>
      </x:c>
      <x:c r="B259" s="34" t="n">
        <x:v>17100</x:v>
      </x:c>
      <x:c r="C259" s="34" t="n">
        <x:v>212132955</x:v>
      </x:c>
      <x:c r="D259" s="34" t="n">
        <x:v>256</x:v>
      </x:c>
      <x:c r="E259" s="34" t="str">
        <x:v>BuchaCaller</x:v>
      </x:c>
      <x:c r="F259" s="34" t="n">
        <x:v>0</x:v>
      </x:c>
      <x:c r="G259" s="35" t="n">
        <x:f>IF(C259=0,0,F259/C259*B259)</x:f>
        <x:v>0</x:v>
      </x:c>
    </x:row>
    <x:row r="260">
      <x:c r="A260" s="33" t="str">
        <x:v>Guild Challenge</x:v>
      </x:c>
      <x:c r="B260" s="34" t="n">
        <x:v>17100</x:v>
      </x:c>
      <x:c r="C260" s="34" t="n">
        <x:v>212132955</x:v>
      </x:c>
      <x:c r="D260" s="34" t="n">
        <x:v>257</x:v>
      </x:c>
      <x:c r="E260" s="34" t="str">
        <x:v>ORKuT</x:v>
      </x:c>
      <x:c r="F260" s="34" t="n">
        <x:v>0</x:v>
      </x:c>
      <x:c r="G260" s="35" t="n">
        <x:f>IF(C260=0,0,F260/C260*B260)</x:f>
        <x:v>0</x:v>
      </x:c>
    </x:row>
    <x:row r="261">
      <x:c r="A261" s="33" t="str">
        <x:v>Guild Challenge</x:v>
      </x:c>
      <x:c r="B261" s="34" t="n">
        <x:v>17100</x:v>
      </x:c>
      <x:c r="C261" s="34" t="n">
        <x:v>212132955</x:v>
      </x:c>
      <x:c r="D261" s="34" t="n">
        <x:v>258</x:v>
      </x:c>
      <x:c r="E261" s="34" t="str">
        <x:v>Itryit</x:v>
      </x:c>
      <x:c r="F261" s="34" t="n">
        <x:v>0</x:v>
      </x:c>
      <x:c r="G261" s="35" t="n">
        <x:f>IF(C261=0,0,F261/C261*B261)</x:f>
        <x:v>0</x:v>
      </x:c>
    </x:row>
    <x:row r="262">
      <x:c r="A262" s="33" t="str">
        <x:v>Guild Challenge</x:v>
      </x:c>
      <x:c r="B262" s="34" t="n">
        <x:v>17100</x:v>
      </x:c>
      <x:c r="C262" s="34" t="n">
        <x:v>212132955</x:v>
      </x:c>
      <x:c r="D262" s="34" t="n">
        <x:v>259</x:v>
      </x:c>
      <x:c r="E262" s="34" t="str">
        <x:v>MoneyMaker555</x:v>
      </x:c>
      <x:c r="F262" s="34" t="n">
        <x:v>0</x:v>
      </x:c>
      <x:c r="G262" s="35" t="n">
        <x:f>IF(C262=0,0,F262/C262*B262)</x:f>
        <x:v>0</x:v>
      </x:c>
    </x:row>
    <x:row r="263">
      <x:c r="A263" s="33" t="str">
        <x:v>Guild Challenge</x:v>
      </x:c>
      <x:c r="B263" s="34" t="n">
        <x:v>17100</x:v>
      </x:c>
      <x:c r="C263" s="34" t="n">
        <x:v>212132955</x:v>
      </x:c>
      <x:c r="D263" s="34" t="n">
        <x:v>260</x:v>
      </x:c>
      <x:c r="E263" s="34" t="str">
        <x:v>ReiDsn</x:v>
      </x:c>
      <x:c r="F263" s="34" t="n">
        <x:v>0</x:v>
      </x:c>
      <x:c r="G263" s="35" t="n">
        <x:f>IF(C263=0,0,F263/C263*B263)</x:f>
        <x:v>0</x:v>
      </x:c>
    </x:row>
    <x:row r="264">
      <x:c r="A264" s="33" t="str">
        <x:v>Guild Challenge</x:v>
      </x:c>
      <x:c r="B264" s="34" t="n">
        <x:v>17100</x:v>
      </x:c>
      <x:c r="C264" s="34" t="n">
        <x:v>212132955</x:v>
      </x:c>
      <x:c r="D264" s="34" t="n">
        <x:v>261</x:v>
      </x:c>
      <x:c r="E264" s="34" t="str">
        <x:v>HematomaBr</x:v>
      </x:c>
      <x:c r="F264" s="34" t="n">
        <x:v>0</x:v>
      </x:c>
      <x:c r="G264" s="35" t="n">
        <x:f>IF(C264=0,0,F264/C264*B264)</x:f>
        <x:v>0</x:v>
      </x:c>
    </x:row>
    <x:row r="265">
      <x:c r="A265" s="33" t="str">
        <x:v>Guild Challenge</x:v>
      </x:c>
      <x:c r="B265" s="34" t="n">
        <x:v>17100</x:v>
      </x:c>
      <x:c r="C265" s="34" t="n">
        <x:v>212132955</x:v>
      </x:c>
      <x:c r="D265" s="34" t="n">
        <x:v>262</x:v>
      </x:c>
      <x:c r="E265" s="34" t="str">
        <x:v>Leygrin</x:v>
      </x:c>
      <x:c r="F265" s="34" t="n">
        <x:v>0</x:v>
      </x:c>
      <x:c r="G265" s="35" t="n">
        <x:f>IF(C265=0,0,F265/C265*B265)</x:f>
        <x:v>0</x:v>
      </x:c>
    </x:row>
    <x:row r="266">
      <x:c r="A266" s="33" t="str">
        <x:v>Guild Challenge</x:v>
      </x:c>
      <x:c r="B266" s="34" t="n">
        <x:v>17100</x:v>
      </x:c>
      <x:c r="C266" s="34" t="n">
        <x:v>212132955</x:v>
      </x:c>
      <x:c r="D266" s="34" t="n">
        <x:v>263</x:v>
      </x:c>
      <x:c r="E266" s="34" t="str">
        <x:v>muller001122</x:v>
      </x:c>
      <x:c r="F266" s="34" t="n">
        <x:v>0</x:v>
      </x:c>
      <x:c r="G266" s="35" t="n">
        <x:f>IF(C266=0,0,F266/C266*B266)</x:f>
        <x:v>0</x:v>
      </x:c>
    </x:row>
    <x:row r="267">
      <x:c r="A267" s="33" t="str">
        <x:v>Guild Challenge</x:v>
      </x:c>
      <x:c r="B267" s="34" t="n">
        <x:v>17100</x:v>
      </x:c>
      <x:c r="C267" s="34" t="n">
        <x:v>212132955</x:v>
      </x:c>
      <x:c r="D267" s="34" t="n">
        <x:v>264</x:v>
      </x:c>
      <x:c r="E267" s="34" t="str">
        <x:v>UCKRAPT</x:v>
      </x:c>
      <x:c r="F267" s="34" t="n">
        <x:v>0</x:v>
      </x:c>
      <x:c r="G267" s="35" t="n">
        <x:f>IF(C267=0,0,F267/C267*B267)</x:f>
        <x:v>0</x:v>
      </x:c>
    </x:row>
    <x:row r="268">
      <x:c r="A268" s="33" t="str">
        <x:v>Guild Challenge</x:v>
      </x:c>
      <x:c r="B268" s="34" t="n">
        <x:v>17100</x:v>
      </x:c>
      <x:c r="C268" s="34" t="n">
        <x:v>212132955</x:v>
      </x:c>
      <x:c r="D268" s="34" t="n">
        <x:v>265</x:v>
      </x:c>
      <x:c r="E268" s="34" t="str">
        <x:v>noob0102</x:v>
      </x:c>
      <x:c r="F268" s="34" t="n">
        <x:v>0</x:v>
      </x:c>
      <x:c r="G268" s="35" t="n">
        <x:f>IF(C268=0,0,F268/C268*B268)</x:f>
        <x:v>0</x:v>
      </x:c>
    </x:row>
    <x:row r="269">
      <x:c r="A269" s="33" t="str">
        <x:v>Guild Challenge</x:v>
      </x:c>
      <x:c r="B269" s="34" t="n">
        <x:v>17100</x:v>
      </x:c>
      <x:c r="C269" s="34" t="n">
        <x:v>212132955</x:v>
      </x:c>
      <x:c r="D269" s="34" t="n">
        <x:v>266</x:v>
      </x:c>
      <x:c r="E269" s="34" t="str">
        <x:v>NOTAGBusiness</x:v>
      </x:c>
      <x:c r="F269" s="34" t="n">
        <x:v>0</x:v>
      </x:c>
      <x:c r="G269" s="35" t="n">
        <x:f>IF(C269=0,0,F269/C269*B269)</x:f>
        <x:v>0</x:v>
      </x:c>
    </x:row>
    <x:row r="270">
      <x:c r="A270" s="33" t="str">
        <x:v>PvE Black</x:v>
      </x:c>
      <x:c r="B270" s="34" t="n">
        <x:v>11000</x:v>
      </x:c>
      <x:c r="C270" s="34" t="n">
        <x:v>31087804</x:v>
      </x:c>
      <x:c r="D270" s="34" t="n">
        <x:v>1</x:v>
      </x:c>
      <x:c r="E270" s="34" t="str">
        <x:v>jrfate</x:v>
      </x:c>
      <x:c r="F270" s="34" t="n">
        <x:v>4062163</x:v>
      </x:c>
      <x:c r="G270" s="35" t="n">
        <x:f>IF(C270=0,0,F270/C270*B270)</x:f>
        <x:v>1437.341569703669</x:v>
      </x:c>
    </x:row>
    <x:row r="271">
      <x:c r="A271" s="33" t="str">
        <x:v>PvE Black</x:v>
      </x:c>
      <x:c r="B271" s="34" t="n">
        <x:v>11000</x:v>
      </x:c>
      <x:c r="C271" s="34" t="n">
        <x:v>31087804</x:v>
      </x:c>
      <x:c r="D271" s="34" t="n">
        <x:v>2</x:v>
      </x:c>
      <x:c r="E271" s="34" t="str">
        <x:v>Horsix</x:v>
      </x:c>
      <x:c r="F271" s="34" t="n">
        <x:v>3581099</x:v>
      </x:c>
      <x:c r="G271" s="35" t="n">
        <x:f>IF(C271=0,0,F271/C271*B271)</x:f>
        <x:v>1267.1235639545334</x:v>
      </x:c>
    </x:row>
    <x:row r="272">
      <x:c r="A272" s="33" t="str">
        <x:v>PvE Black</x:v>
      </x:c>
      <x:c r="B272" s="34" t="n">
        <x:v>11000</x:v>
      </x:c>
      <x:c r="C272" s="34" t="n">
        <x:v>31087804</x:v>
      </x:c>
      <x:c r="D272" s="34" t="n">
        <x:v>3</x:v>
      </x:c>
      <x:c r="E272" s="34" t="str">
        <x:v>TKZX</x:v>
      </x:c>
      <x:c r="F272" s="34" t="n">
        <x:v>2829998</x:v>
      </x:c>
      <x:c r="G272" s="35" t="n">
        <x:f>IF(C272=0,0,F272/C272*B272)</x:f>
        <x:v>1001.3566091705931</x:v>
      </x:c>
    </x:row>
    <x:row r="273">
      <x:c r="A273" s="33" t="str">
        <x:v>PvE Black</x:v>
      </x:c>
      <x:c r="B273" s="34" t="n">
        <x:v>11000</x:v>
      </x:c>
      <x:c r="C273" s="34" t="n">
        <x:v>31087804</x:v>
      </x:c>
      <x:c r="D273" s="34" t="n">
        <x:v>4</x:v>
      </x:c>
      <x:c r="E273" s="34" t="str">
        <x:v>Sabedoria7</x:v>
      </x:c>
      <x:c r="F273" s="34" t="n">
        <x:v>1505413</x:v>
      </x:c>
      <x:c r="G273" s="35" t="n">
        <x:f>IF(C273=0,0,F273/C273*B273)</x:f>
        <x:v>532.670078594165</x:v>
      </x:c>
    </x:row>
    <x:row r="274">
      <x:c r="A274" s="33" t="str">
        <x:v>PvE Black</x:v>
      </x:c>
      <x:c r="B274" s="34" t="n">
        <x:v>11000</x:v>
      </x:c>
      <x:c r="C274" s="34" t="n">
        <x:v>31087804</x:v>
      </x:c>
      <x:c r="D274" s="34" t="n">
        <x:v>5</x:v>
      </x:c>
      <x:c r="E274" s="34" t="str">
        <x:v>JrMadRyukk</x:v>
      </x:c>
      <x:c r="F274" s="34" t="n">
        <x:v>1069066</x:v>
      </x:c>
      <x:c r="G274" s="35" t="n">
        <x:f>IF(C274=0,0,F274/C274*B274)</x:f>
        <x:v>378.27457996068165</x:v>
      </x:c>
    </x:row>
    <x:row r="275">
      <x:c r="A275" s="33" t="str">
        <x:v>PvE Black</x:v>
      </x:c>
      <x:c r="B275" s="34" t="n">
        <x:v>11000</x:v>
      </x:c>
      <x:c r="C275" s="34" t="n">
        <x:v>31087804</x:v>
      </x:c>
      <x:c r="D275" s="34" t="n">
        <x:v>6</x:v>
      </x:c>
      <x:c r="E275" s="34" t="str">
        <x:v>imdonedontkillme</x:v>
      </x:c>
      <x:c r="F275" s="34" t="n">
        <x:v>1042382</x:v>
      </x:c>
      <x:c r="G275" s="35" t="n">
        <x:f>IF(C275=0,0,F275/C275*B275)</x:f>
        <x:v>368.8328065887188</x:v>
      </x:c>
    </x:row>
    <x:row r="276">
      <x:c r="A276" s="33" t="str">
        <x:v>PvE Black</x:v>
      </x:c>
      <x:c r="B276" s="34" t="n">
        <x:v>11000</x:v>
      </x:c>
      <x:c r="C276" s="34" t="n">
        <x:v>31087804</x:v>
      </x:c>
      <x:c r="D276" s="34" t="n">
        <x:v>7</x:v>
      </x:c>
      <x:c r="E276" s="34" t="str">
        <x:v>xXFate</x:v>
      </x:c>
      <x:c r="F276" s="34" t="n">
        <x:v>932936</x:v>
      </x:c>
      <x:c r="G276" s="35" t="n">
        <x:f>IF(C276=0,0,F276/C276*B276)</x:f>
        <x:v>330.1068161649501</x:v>
      </x:c>
    </x:row>
    <x:row r="277">
      <x:c r="A277" s="33" t="str">
        <x:v>PvE Black</x:v>
      </x:c>
      <x:c r="B277" s="34" t="n">
        <x:v>11000</x:v>
      </x:c>
      <x:c r="C277" s="34" t="n">
        <x:v>31087804</x:v>
      </x:c>
      <x:c r="D277" s="34" t="n">
        <x:v>8</x:v>
      </x:c>
      <x:c r="E277" s="34" t="str">
        <x:v>SerpentVeil</x:v>
      </x:c>
      <x:c r="F277" s="34" t="n">
        <x:v>932319</x:v>
      </x:c>
      <x:c r="G277" s="35" t="n">
        <x:f>IF(C277=0,0,F277/C277*B277)</x:f>
        <x:v>329.8884990396877</x:v>
      </x:c>
    </x:row>
    <x:row r="278">
      <x:c r="A278" s="33" t="str">
        <x:v>PvE Black</x:v>
      </x:c>
      <x:c r="B278" s="34" t="n">
        <x:v>11000</x:v>
      </x:c>
      <x:c r="C278" s="34" t="n">
        <x:v>31087804</x:v>
      </x:c>
      <x:c r="D278" s="34" t="n">
        <x:v>9</x:v>
      </x:c>
      <x:c r="E278" s="34" t="str">
        <x:v>PlantsTK</x:v>
      </x:c>
      <x:c r="F278" s="34" t="n">
        <x:v>744644</x:v>
      </x:c>
      <x:c r="G278" s="35" t="n">
        <x:f>IF(C278=0,0,F278/C278*B278)</x:f>
        <x:v>263.4822324536014</x:v>
      </x:c>
    </x:row>
    <x:row r="279">
      <x:c r="A279" s="33" t="str">
        <x:v>PvE Black</x:v>
      </x:c>
      <x:c r="B279" s="34" t="n">
        <x:v>11000</x:v>
      </x:c>
      <x:c r="C279" s="34" t="n">
        <x:v>31087804</x:v>
      </x:c>
      <x:c r="D279" s="34" t="n">
        <x:v>10</x:v>
      </x:c>
      <x:c r="E279" s="34" t="str">
        <x:v>Euhh</x:v>
      </x:c>
      <x:c r="F279" s="34" t="n">
        <x:v>649860</x:v>
      </x:c>
      <x:c r="G279" s="35" t="n">
        <x:f>IF(C279=0,0,F279/C279*B279)</x:f>
        <x:v>229.94419290600263</x:v>
      </x:c>
    </x:row>
    <x:row r="280">
      <x:c r="A280" s="33" t="str">
        <x:v>PvE Black</x:v>
      </x:c>
      <x:c r="B280" s="34" t="n">
        <x:v>11000</x:v>
      </x:c>
      <x:c r="C280" s="34" t="n">
        <x:v>31087804</x:v>
      </x:c>
      <x:c r="D280" s="34" t="n">
        <x:v>11</x:v>
      </x:c>
      <x:c r="E280" s="34" t="str">
        <x:v>Tmaiusculo</x:v>
      </x:c>
      <x:c r="F280" s="34" t="n">
        <x:v>649331</x:v>
      </x:c>
      <x:c r="G280" s="35" t="n">
        <x:f>IF(C280=0,0,F280/C280*B280)</x:f>
        <x:v>229.75701339341947</x:v>
      </x:c>
    </x:row>
    <x:row r="281">
      <x:c r="A281" s="33" t="str">
        <x:v>PvE Black</x:v>
      </x:c>
      <x:c r="B281" s="34" t="n">
        <x:v>11000</x:v>
      </x:c>
      <x:c r="C281" s="34" t="n">
        <x:v>31087804</x:v>
      </x:c>
      <x:c r="D281" s="34" t="n">
        <x:v>12</x:v>
      </x:c>
      <x:c r="E281" s="34" t="str">
        <x:v>Hi6or</x:v>
      </x:c>
      <x:c r="F281" s="34" t="n">
        <x:v>562948</x:v>
      </x:c>
      <x:c r="G281" s="35" t="n">
        <x:f>IF(C281=0,0,F281/C281*B281)</x:f>
        <x:v>199.19155434716455</x:v>
      </x:c>
    </x:row>
    <x:row r="282">
      <x:c r="A282" s="33" t="str">
        <x:v>PvE Black</x:v>
      </x:c>
      <x:c r="B282" s="34" t="n">
        <x:v>11000</x:v>
      </x:c>
      <x:c r="C282" s="34" t="n">
        <x:v>31087804</x:v>
      </x:c>
      <x:c r="D282" s="34" t="n">
        <x:v>13</x:v>
      </x:c>
      <x:c r="E282" s="34" t="str">
        <x:v>ISpellNotFound</x:v>
      </x:c>
      <x:c r="F282" s="34" t="n">
        <x:v>538520</x:v>
      </x:c>
      <x:c r="G282" s="35" t="n">
        <x:f>IF(C282=0,0,F282/C282*B282)</x:f>
        <x:v>190.54803613661485</x:v>
      </x:c>
    </x:row>
    <x:row r="283">
      <x:c r="A283" s="33" t="str">
        <x:v>PvE Black</x:v>
      </x:c>
      <x:c r="B283" s="34" t="n">
        <x:v>11000</x:v>
      </x:c>
      <x:c r="C283" s="34" t="n">
        <x:v>31087804</x:v>
      </x:c>
      <x:c r="D283" s="34" t="n">
        <x:v>14</x:v>
      </x:c>
      <x:c r="E283" s="34" t="str">
        <x:v>Julioczr</x:v>
      </x:c>
      <x:c r="F283" s="34" t="n">
        <x:v>507381</x:v>
      </x:c>
      <x:c r="G283" s="35" t="n">
        <x:f>IF(C283=0,0,F283/C283*B283)</x:f>
        <x:v>179.52992112276567</x:v>
      </x:c>
    </x:row>
    <x:row r="284">
      <x:c r="A284" s="33" t="str">
        <x:v>PvE Black</x:v>
      </x:c>
      <x:c r="B284" s="34" t="n">
        <x:v>11000</x:v>
      </x:c>
      <x:c r="C284" s="34" t="n">
        <x:v>31087804</x:v>
      </x:c>
      <x:c r="D284" s="34" t="n">
        <x:v>15</x:v>
      </x:c>
      <x:c r="E284" s="34" t="str">
        <x:v>jokker1998</x:v>
      </x:c>
      <x:c r="F284" s="34" t="n">
        <x:v>448942</x:v>
      </x:c>
      <x:c r="G284" s="35" t="n">
        <x:f>IF(C284=0,0,F284/C284*B284)</x:f>
        <x:v>158.85206944819905</x:v>
      </x:c>
    </x:row>
    <x:row r="285">
      <x:c r="A285" s="33" t="str">
        <x:v>PvE Black</x:v>
      </x:c>
      <x:c r="B285" s="34" t="n">
        <x:v>11000</x:v>
      </x:c>
      <x:c r="C285" s="34" t="n">
        <x:v>31087804</x:v>
      </x:c>
      <x:c r="D285" s="34" t="n">
        <x:v>16</x:v>
      </x:c>
      <x:c r="E285" s="34" t="str">
        <x:v>Nagacaburos</x:v>
      </x:c>
      <x:c r="F285" s="34" t="n">
        <x:v>436441</x:v>
      </x:c>
      <x:c r="G285" s="35" t="n">
        <x:f>IF(C285=0,0,F285/C285*B285)</x:f>
        <x:v>154.42875926520895</x:v>
      </x:c>
    </x:row>
    <x:row r="286">
      <x:c r="A286" s="33" t="str">
        <x:v>PvE Black</x:v>
      </x:c>
      <x:c r="B286" s="34" t="n">
        <x:v>11000</x:v>
      </x:c>
      <x:c r="C286" s="34" t="n">
        <x:v>31087804</x:v>
      </x:c>
      <x:c r="D286" s="34" t="n">
        <x:v>17</x:v>
      </x:c>
      <x:c r="E286" s="34" t="str">
        <x:v>dsn</x:v>
      </x:c>
      <x:c r="F286" s="34" t="n">
        <x:v>350885</x:v>
      </x:c>
      <x:c r="G286" s="35" t="n">
        <x:f>IF(C286=0,0,F286/C286*B286)</x:f>
        <x:v>124.15592301083731</x:v>
      </x:c>
    </x:row>
    <x:row r="287">
      <x:c r="A287" s="33" t="str">
        <x:v>PvE Black</x:v>
      </x:c>
      <x:c r="B287" s="34" t="n">
        <x:v>11000</x:v>
      </x:c>
      <x:c r="C287" s="34" t="n">
        <x:v>31087804</x:v>
      </x:c>
      <x:c r="D287" s="34" t="n">
        <x:v>18</x:v>
      </x:c>
      <x:c r="E287" s="34" t="str">
        <x:v>maicon1357</x:v>
      </x:c>
      <x:c r="F287" s="34" t="n">
        <x:v>346042</x:v>
      </x:c>
      <x:c r="G287" s="35" t="n">
        <x:f>IF(C287=0,0,F287/C287*B287)</x:f>
        <x:v>122.44229280395618</x:v>
      </x:c>
    </x:row>
    <x:row r="288">
      <x:c r="A288" s="33" t="str">
        <x:v>PvE Black</x:v>
      </x:c>
      <x:c r="B288" s="34" t="n">
        <x:v>11000</x:v>
      </x:c>
      <x:c r="C288" s="34" t="n">
        <x:v>31087804</x:v>
      </x:c>
      <x:c r="D288" s="34" t="n">
        <x:v>19</x:v>
      </x:c>
      <x:c r="E288" s="34" t="str">
        <x:v>BSAIGunner</x:v>
      </x:c>
      <x:c r="F288" s="34" t="n">
        <x:v>338675</x:v>
      </x:c>
      <x:c r="G288" s="35" t="n">
        <x:f>IF(C288=0,0,F288/C288*B288)</x:f>
        <x:v>119.83557925159332</x:v>
      </x:c>
    </x:row>
    <x:row r="289">
      <x:c r="A289" s="33" t="str">
        <x:v>PvE Black</x:v>
      </x:c>
      <x:c r="B289" s="34" t="n">
        <x:v>11000</x:v>
      </x:c>
      <x:c r="C289" s="34" t="n">
        <x:v>31087804</x:v>
      </x:c>
      <x:c r="D289" s="34" t="n">
        <x:v>20</x:v>
      </x:c>
      <x:c r="E289" s="34" t="str">
        <x:v>Dorfiuses</x:v>
      </x:c>
      <x:c r="F289" s="34" t="n">
        <x:v>328378</x:v>
      </x:c>
      <x:c r="G289" s="35" t="n">
        <x:f>IF(C289=0,0,F289/C289*B289)</x:f>
        <x:v>116.19212473161501</x:v>
      </x:c>
    </x:row>
    <x:row r="290">
      <x:c r="A290" s="33" t="str">
        <x:v>PvE Black</x:v>
      </x:c>
      <x:c r="B290" s="34" t="n">
        <x:v>11000</x:v>
      </x:c>
      <x:c r="C290" s="34" t="n">
        <x:v>31087804</x:v>
      </x:c>
      <x:c r="D290" s="34" t="n">
        <x:v>21</x:v>
      </x:c>
      <x:c r="E290" s="34" t="str">
        <x:v>goncalves23</x:v>
      </x:c>
      <x:c r="F290" s="34" t="n">
        <x:v>317865</x:v>
      </x:c>
      <x:c r="G290" s="35" t="n">
        <x:f>IF(C290=0,0,F290/C290*B290)</x:f>
        <x:v>112.47224152596947</x:v>
      </x:c>
    </x:row>
    <x:row r="291">
      <x:c r="A291" s="33" t="str">
        <x:v>PvE Black</x:v>
      </x:c>
      <x:c r="B291" s="34" t="n">
        <x:v>11000</x:v>
      </x:c>
      <x:c r="C291" s="34" t="n">
        <x:v>31087804</x:v>
      </x:c>
      <x:c r="D291" s="34" t="n">
        <x:v>22</x:v>
      </x:c>
      <x:c r="E291" s="34" t="str">
        <x:v>jairrodrigo</x:v>
      </x:c>
      <x:c r="F291" s="34" t="n">
        <x:v>292668</x:v>
      </x:c>
      <x:c r="G291" s="35" t="n">
        <x:f>IF(C291=0,0,F291/C291*B291)</x:f>
        <x:v>103.55662304098418</x:v>
      </x:c>
    </x:row>
    <x:row r="292">
      <x:c r="A292" s="33" t="str">
        <x:v>PvE Black</x:v>
      </x:c>
      <x:c r="B292" s="34" t="n">
        <x:v>11000</x:v>
      </x:c>
      <x:c r="C292" s="34" t="n">
        <x:v>31087804</x:v>
      </x:c>
      <x:c r="D292" s="34" t="n">
        <x:v>23</x:v>
      </x:c>
      <x:c r="E292" s="34" t="str">
        <x:v>lordkiller01</x:v>
      </x:c>
      <x:c r="F292" s="34" t="n">
        <x:v>283950</x:v>
      </x:c>
      <x:c r="G292" s="35" t="n">
        <x:f>IF(C292=0,0,F292/C292*B292)</x:f>
        <x:v>100.47187636669351</x:v>
      </x:c>
    </x:row>
    <x:row r="293">
      <x:c r="A293" s="33" t="str">
        <x:v>PvE Black</x:v>
      </x:c>
      <x:c r="B293" s="34" t="n">
        <x:v>11000</x:v>
      </x:c>
      <x:c r="C293" s="34" t="n">
        <x:v>31087804</x:v>
      </x:c>
      <x:c r="D293" s="34" t="n">
        <x:v>24</x:v>
      </x:c>
      <x:c r="E293" s="34" t="str">
        <x:v>LipeFuab</x:v>
      </x:c>
      <x:c r="F293" s="34" t="n">
        <x:v>278863</x:v>
      </x:c>
      <x:c r="G293" s="35" t="n">
        <x:f>IF(C293=0,0,F293/C293*B293)</x:f>
        <x:v>98.67191005192906</x:v>
      </x:c>
    </x:row>
    <x:row r="294">
      <x:c r="A294" s="33" t="str">
        <x:v>PvE Black</x:v>
      </x:c>
      <x:c r="B294" s="34" t="n">
        <x:v>11000</x:v>
      </x:c>
      <x:c r="C294" s="34" t="n">
        <x:v>31087804</x:v>
      </x:c>
      <x:c r="D294" s="34" t="n">
        <x:v>25</x:v>
      </x:c>
      <x:c r="E294" s="34" t="str">
        <x:v>Stresseed</x:v>
      </x:c>
      <x:c r="F294" s="34" t="n">
        <x:v>259134</x:v>
      </x:c>
      <x:c r="G294" s="35" t="n">
        <x:f>IF(C294=0,0,F294/C294*B294)</x:f>
        <x:v>91.691069591149</x:v>
      </x:c>
    </x:row>
    <x:row r="295">
      <x:c r="A295" s="33" t="str">
        <x:v>PvE Black</x:v>
      </x:c>
      <x:c r="B295" s="34" t="n">
        <x:v>11000</x:v>
      </x:c>
      <x:c r="C295" s="34" t="n">
        <x:v>31087804</x:v>
      </x:c>
      <x:c r="D295" s="34" t="n">
        <x:v>26</x:v>
      </x:c>
      <x:c r="E295" s="34" t="str">
        <x:v>Akuma1000</x:v>
      </x:c>
      <x:c r="F295" s="34" t="n">
        <x:v>239817</x:v>
      </x:c>
      <x:c r="G295" s="35" t="n">
        <x:f>IF(C295=0,0,F295/C295*B295)</x:f>
        <x:v>84.856009771549</x:v>
      </x:c>
    </x:row>
    <x:row r="296">
      <x:c r="A296" s="33" t="str">
        <x:v>PvE Black</x:v>
      </x:c>
      <x:c r="B296" s="34" t="n">
        <x:v>11000</x:v>
      </x:c>
      <x:c r="C296" s="34" t="n">
        <x:v>31087804</x:v>
      </x:c>
      <x:c r="D296" s="34" t="n">
        <x:v>27</x:v>
      </x:c>
      <x:c r="E296" s="34" t="str">
        <x:v>MatMac</x:v>
      </x:c>
      <x:c r="F296" s="34" t="n">
        <x:v>229391</x:v>
      </x:c>
      <x:c r="G296" s="35" t="n">
        <x:f>IF(C296=0,0,F296/C296*B296)</x:f>
        <x:v>81.16691034207498</x:v>
      </x:c>
    </x:row>
    <x:row r="297">
      <x:c r="A297" s="33" t="str">
        <x:v>PvE Black</x:v>
      </x:c>
      <x:c r="B297" s="34" t="n">
        <x:v>11000</x:v>
      </x:c>
      <x:c r="C297" s="34" t="n">
        <x:v>31087804</x:v>
      </x:c>
      <x:c r="D297" s="34" t="n">
        <x:v>28</x:v>
      </x:c>
      <x:c r="E297" s="34" t="str">
        <x:v>jordansPt</x:v>
      </x:c>
      <x:c r="F297" s="34" t="n">
        <x:v>226879</x:v>
      </x:c>
      <x:c r="G297" s="35" t="n">
        <x:f>IF(C297=0,0,F297/C297*B297)</x:f>
        <x:v>80.27807303468589</x:v>
      </x:c>
    </x:row>
    <x:row r="298">
      <x:c r="A298" s="33" t="str">
        <x:v>PvE Black</x:v>
      </x:c>
      <x:c r="B298" s="34" t="n">
        <x:v>11000</x:v>
      </x:c>
      <x:c r="C298" s="34" t="n">
        <x:v>31087804</x:v>
      </x:c>
      <x:c r="D298" s="34" t="n">
        <x:v>29</x:v>
      </x:c>
      <x:c r="E298" s="34" t="str">
        <x:v>WellITKD</x:v>
      </x:c>
      <x:c r="F298" s="34" t="n">
        <x:v>225523</x:v>
      </x:c>
      <x:c r="G298" s="35" t="n">
        <x:f>IF(C298=0,0,F298/C298*B298)</x:f>
        <x:v>79.79827073021947</x:v>
      </x:c>
    </x:row>
    <x:row r="299">
      <x:c r="A299" s="33" t="str">
        <x:v>PvE Black</x:v>
      </x:c>
      <x:c r="B299" s="34" t="n">
        <x:v>11000</x:v>
      </x:c>
      <x:c r="C299" s="34" t="n">
        <x:v>31087804</x:v>
      </x:c>
      <x:c r="D299" s="34" t="n">
        <x:v>30</x:v>
      </x:c>
      <x:c r="E299" s="34" t="str">
        <x:v>avven1996</x:v>
      </x:c>
      <x:c r="F299" s="34" t="n">
        <x:v>222084</x:v>
      </x:c>
      <x:c r="G299" s="35" t="n">
        <x:f>IF(C299=0,0,F299/C299*B299)</x:f>
        <x:v>78.58142698017525</x:v>
      </x:c>
    </x:row>
    <x:row r="300">
      <x:c r="A300" s="33" t="str">
        <x:v>PvE Black</x:v>
      </x:c>
      <x:c r="B300" s="34" t="n">
        <x:v>11000</x:v>
      </x:c>
      <x:c r="C300" s="34" t="n">
        <x:v>31087804</x:v>
      </x:c>
      <x:c r="D300" s="34" t="n">
        <x:v>31</x:v>
      </x:c>
      <x:c r="E300" s="34" t="str">
        <x:v>habibino</x:v>
      </x:c>
      <x:c r="F300" s="34" t="n">
        <x:v>216981</x:v>
      </x:c>
      <x:c r="G300" s="35" t="n">
        <x:f>IF(C300=0,0,F300/C300*B300)</x:f>
        <x:v>76.77579928128729</x:v>
      </x:c>
    </x:row>
    <x:row r="301">
      <x:c r="A301" s="33" t="str">
        <x:v>PvE Black</x:v>
      </x:c>
      <x:c r="B301" s="34" t="n">
        <x:v>11000</x:v>
      </x:c>
      <x:c r="C301" s="34" t="n">
        <x:v>31087804</x:v>
      </x:c>
      <x:c r="D301" s="34" t="n">
        <x:v>32</x:v>
      </x:c>
      <x:c r="E301" s="34" t="str">
        <x:v>Amakv</x:v>
      </x:c>
      <x:c r="F301" s="34" t="n">
        <x:v>213432</x:v>
      </x:c>
      <x:c r="G301" s="35" t="n">
        <x:f>IF(C301=0,0,F301/C301*B301)</x:f>
        <x:v>75.520033515394</x:v>
      </x:c>
    </x:row>
    <x:row r="302">
      <x:c r="A302" s="33" t="str">
        <x:v>PvE Black</x:v>
      </x:c>
      <x:c r="B302" s="34" t="n">
        <x:v>11000</x:v>
      </x:c>
      <x:c r="C302" s="34" t="n">
        <x:v>31087804</x:v>
      </x:c>
      <x:c r="D302" s="34" t="n">
        <x:v>33</x:v>
      </x:c>
      <x:c r="E302" s="34" t="str">
        <x:v>MineMim</x:v>
      </x:c>
      <x:c r="F302" s="34" t="n">
        <x:v>206468</x:v>
      </x:c>
      <x:c r="G302" s="35" t="n">
        <x:f>IF(C302=0,0,F302/C302*B302)</x:f>
        <x:v>73.05591607564175</x:v>
      </x:c>
    </x:row>
    <x:row r="303">
      <x:c r="A303" s="33" t="str">
        <x:v>PvE Black</x:v>
      </x:c>
      <x:c r="B303" s="34" t="n">
        <x:v>11000</x:v>
      </x:c>
      <x:c r="C303" s="34" t="n">
        <x:v>31087804</x:v>
      </x:c>
      <x:c r="D303" s="34" t="n">
        <x:v>34</x:v>
      </x:c>
      <x:c r="E303" s="34" t="str">
        <x:v>Cominhos</x:v>
      </x:c>
      <x:c r="F303" s="34" t="n">
        <x:v>206287</x:v>
      </x:c>
      <x:c r="G303" s="35" t="n">
        <x:f>IF(C303=0,0,F303/C303*B303)</x:f>
        <x:v>72.99187166774469</x:v>
      </x:c>
    </x:row>
    <x:row r="304">
      <x:c r="A304" s="33" t="str">
        <x:v>PvE Black</x:v>
      </x:c>
      <x:c r="B304" s="34" t="n">
        <x:v>11000</x:v>
      </x:c>
      <x:c r="C304" s="34" t="n">
        <x:v>31087804</x:v>
      </x:c>
      <x:c r="D304" s="34" t="n">
        <x:v>35</x:v>
      </x:c>
      <x:c r="E304" s="34" t="str">
        <x:v>minhafemea1</x:v>
      </x:c>
      <x:c r="F304" s="34" t="n">
        <x:v>205702</x:v>
      </x:c>
      <x:c r="G304" s="35" t="n">
        <x:f>IF(C304=0,0,F304/C304*B304)</x:f>
        <x:v>72.78487731072931</x:v>
      </x:c>
    </x:row>
    <x:row r="305">
      <x:c r="A305" s="33" t="str">
        <x:v>PvE Black</x:v>
      </x:c>
      <x:c r="B305" s="34" t="n">
        <x:v>11000</x:v>
      </x:c>
      <x:c r="C305" s="34" t="n">
        <x:v>31087804</x:v>
      </x:c>
      <x:c r="D305" s="34" t="n">
        <x:v>36</x:v>
      </x:c>
      <x:c r="E305" s="34" t="str">
        <x:v>OniGuM000</x:v>
      </x:c>
      <x:c r="F305" s="34" t="n">
        <x:v>204510</x:v>
      </x:c>
      <x:c r="G305" s="35" t="n">
        <x:f>IF(C305=0,0,F305/C305*B305)</x:f>
        <x:v>72.36310419352876</x:v>
      </x:c>
    </x:row>
    <x:row r="306">
      <x:c r="A306" s="33" t="str">
        <x:v>PvE Black</x:v>
      </x:c>
      <x:c r="B306" s="34" t="n">
        <x:v>11000</x:v>
      </x:c>
      <x:c r="C306" s="34" t="n">
        <x:v>31087804</x:v>
      </x:c>
      <x:c r="D306" s="34" t="n">
        <x:v>37</x:v>
      </x:c>
      <x:c r="E306" s="34" t="str">
        <x:v>HolyGyat2324</x:v>
      </x:c>
      <x:c r="F306" s="34" t="n">
        <x:v>201733</x:v>
      </x:c>
      <x:c r="G306" s="35" t="n">
        <x:f>IF(C306=0,0,F306/C306*B306)</x:f>
        <x:v>71.38050021159424</x:v>
      </x:c>
    </x:row>
    <x:row r="307">
      <x:c r="A307" s="33" t="str">
        <x:v>PvE Black</x:v>
      </x:c>
      <x:c r="B307" s="34" t="n">
        <x:v>11000</x:v>
      </x:c>
      <x:c r="C307" s="34" t="n">
        <x:v>31087804</x:v>
      </x:c>
      <x:c r="D307" s="34" t="n">
        <x:v>38</x:v>
      </x:c>
      <x:c r="E307" s="34" t="str">
        <x:v>Lamusk</x:v>
      </x:c>
      <x:c r="F307" s="34" t="n">
        <x:v>199205</x:v>
      </x:c>
      <x:c r="G307" s="35" t="n">
        <x:f>IF(C307=0,0,F307/C307*B307)</x:f>
        <x:v>70.48600152008164</x:v>
      </x:c>
    </x:row>
    <x:row r="308">
      <x:c r="A308" s="33" t="str">
        <x:v>PvE Black</x:v>
      </x:c>
      <x:c r="B308" s="34" t="n">
        <x:v>11000</x:v>
      </x:c>
      <x:c r="C308" s="34" t="n">
        <x:v>31087804</x:v>
      </x:c>
      <x:c r="D308" s="34" t="n">
        <x:v>39</x:v>
      </x:c>
      <x:c r="E308" s="34" t="str">
        <x:v>KuNaKiNa</x:v>
      </x:c>
      <x:c r="F308" s="34" t="n">
        <x:v>183416</x:v>
      </x:c>
      <x:c r="G308" s="35" t="n">
        <x:f>IF(C308=0,0,F308/C308*B308)</x:f>
        <x:v>64.89927689971283</x:v>
      </x:c>
    </x:row>
    <x:row r="309">
      <x:c r="A309" s="33" t="str">
        <x:v>PvE Black</x:v>
      </x:c>
      <x:c r="B309" s="34" t="n">
        <x:v>11000</x:v>
      </x:c>
      <x:c r="C309" s="34" t="n">
        <x:v>31087804</x:v>
      </x:c>
      <x:c r="D309" s="34" t="n">
        <x:v>40</x:v>
      </x:c>
      <x:c r="E309" s="34" t="str">
        <x:v>VULTO</x:v>
      </x:c>
      <x:c r="F309" s="34" t="n">
        <x:v>179291</x:v>
      </x:c>
      <x:c r="G309" s="35" t="n">
        <x:f>IF(C309=0,0,F309/C309*B309)</x:f>
        <x:v>63.43970130537364</x:v>
      </x:c>
    </x:row>
    <x:row r="310">
      <x:c r="A310" s="33" t="str">
        <x:v>PvE Black</x:v>
      </x:c>
      <x:c r="B310" s="34" t="n">
        <x:v>11000</x:v>
      </x:c>
      <x:c r="C310" s="34" t="n">
        <x:v>31087804</x:v>
      </x:c>
      <x:c r="D310" s="34" t="n">
        <x:v>41</x:v>
      </x:c>
      <x:c r="E310" s="34" t="str">
        <x:v>hardfedles</x:v>
      </x:c>
      <x:c r="F310" s="34" t="n">
        <x:v>167656</x:v>
      </x:c>
      <x:c r="G310" s="35" t="n">
        <x:f>IF(C310=0,0,F310/C310*B310)</x:f>
        <x:v>59.322813538067855</x:v>
      </x:c>
    </x:row>
    <x:row r="311">
      <x:c r="A311" s="33" t="str">
        <x:v>PvE Black</x:v>
      </x:c>
      <x:c r="B311" s="34" t="n">
        <x:v>11000</x:v>
      </x:c>
      <x:c r="C311" s="34" t="n">
        <x:v>31087804</x:v>
      </x:c>
      <x:c r="D311" s="34" t="n">
        <x:v>42</x:v>
      </x:c>
      <x:c r="E311" s="34" t="str">
        <x:v>Rammstein</x:v>
      </x:c>
      <x:c r="F311" s="34" t="n">
        <x:v>166314</x:v>
      </x:c>
      <x:c r="G311" s="35" t="n">
        <x:f>IF(C311=0,0,F311/C311*B311)</x:f>
        <x:v>58.84796494470951</x:v>
      </x:c>
    </x:row>
    <x:row r="312">
      <x:c r="A312" s="33" t="str">
        <x:v>PvE Black</x:v>
      </x:c>
      <x:c r="B312" s="34" t="n">
        <x:v>11000</x:v>
      </x:c>
      <x:c r="C312" s="34" t="n">
        <x:v>31087804</x:v>
      </x:c>
      <x:c r="D312" s="34" t="n">
        <x:v>43</x:v>
      </x:c>
      <x:c r="E312" s="34" t="str">
        <x:v>KABRITONHO</x:v>
      </x:c>
      <x:c r="F312" s="34" t="n">
        <x:v>161365</x:v>
      </x:c>
      <x:c r="G312" s="35" t="n">
        <x:f>IF(C312=0,0,F312/C312*B312)</x:f>
        <x:v>57.096828068010204</x:v>
      </x:c>
    </x:row>
    <x:row r="313">
      <x:c r="A313" s="33" t="str">
        <x:v>PvE Black</x:v>
      </x:c>
      <x:c r="B313" s="34" t="n">
        <x:v>11000</x:v>
      </x:c>
      <x:c r="C313" s="34" t="n">
        <x:v>31087804</x:v>
      </x:c>
      <x:c r="D313" s="34" t="n">
        <x:v>44</x:v>
      </x:c>
      <x:c r="E313" s="34" t="str">
        <x:v>Natsury</x:v>
      </x:c>
      <x:c r="F313" s="34" t="n">
        <x:v>158385</x:v>
      </x:c>
      <x:c r="G313" s="35" t="n">
        <x:f>IF(C313=0,0,F313/C313*B313)</x:f>
        <x:v>56.04239527500881</x:v>
      </x:c>
    </x:row>
    <x:row r="314">
      <x:c r="A314" s="33" t="str">
        <x:v>PvE Black</x:v>
      </x:c>
      <x:c r="B314" s="34" t="n">
        <x:v>11000</x:v>
      </x:c>
      <x:c r="C314" s="34" t="n">
        <x:v>31087804</x:v>
      </x:c>
      <x:c r="D314" s="34" t="n">
        <x:v>45</x:v>
      </x:c>
      <x:c r="E314" s="34" t="str">
        <x:v>zNeii</x:v>
      </x:c>
      <x:c r="F314" s="34" t="n">
        <x:v>157481</x:v>
      </x:c>
      <x:c r="G314" s="35" t="n">
        <x:f>IF(C314=0,0,F314/C314*B314)</x:f>
        <x:v>55.72252707203121</x:v>
      </x:c>
    </x:row>
    <x:row r="315">
      <x:c r="A315" s="33" t="str">
        <x:v>PvE Black</x:v>
      </x:c>
      <x:c r="B315" s="34" t="n">
        <x:v>11000</x:v>
      </x:c>
      <x:c r="C315" s="34" t="n">
        <x:v>31087804</x:v>
      </x:c>
      <x:c r="D315" s="34" t="n">
        <x:v>46</x:v>
      </x:c>
      <x:c r="E315" s="34" t="str">
        <x:v>Jmbv</x:v>
      </x:c>
      <x:c r="F315" s="34" t="n">
        <x:v>143799</x:v>
      </x:c>
      <x:c r="G315" s="35" t="n">
        <x:f>IF(C315=0,0,F315/C315*B315)</x:f>
        <x:v>50.881335973425465</x:v>
      </x:c>
    </x:row>
    <x:row r="316">
      <x:c r="A316" s="33" t="str">
        <x:v>PvE Black</x:v>
      </x:c>
      <x:c r="B316" s="34" t="n">
        <x:v>11000</x:v>
      </x:c>
      <x:c r="C316" s="34" t="n">
        <x:v>31087804</x:v>
      </x:c>
      <x:c r="D316" s="34" t="n">
        <x:v>47</x:v>
      </x:c>
      <x:c r="E316" s="34" t="str">
        <x:v>Patolas</x:v>
      </x:c>
      <x:c r="F316" s="34" t="n">
        <x:v>139283</x:v>
      </x:c>
      <x:c r="G316" s="35" t="n">
        <x:f>IF(C316=0,0,F316/C316*B316)</x:f>
        <x:v>49.283410304568314</x:v>
      </x:c>
    </x:row>
    <x:row r="317">
      <x:c r="A317" s="33" t="str">
        <x:v>PvE Black</x:v>
      </x:c>
      <x:c r="B317" s="34" t="n">
        <x:v>11000</x:v>
      </x:c>
      <x:c r="C317" s="34" t="n">
        <x:v>31087804</x:v>
      </x:c>
      <x:c r="D317" s="34" t="n">
        <x:v>48</x:v>
      </x:c>
      <x:c r="E317" s="34" t="str">
        <x:v>Yuangii</x:v>
      </x:c>
      <x:c r="F317" s="34" t="n">
        <x:v>138578</x:v>
      </x:c>
      <x:c r="G317" s="35" t="n">
        <x:f>IF(C317=0,0,F317/C317*B317)</x:f>
        <x:v>49.03395556662671</x:v>
      </x:c>
    </x:row>
    <x:row r="318">
      <x:c r="A318" s="33" t="str">
        <x:v>PvE Black</x:v>
      </x:c>
      <x:c r="B318" s="34" t="n">
        <x:v>11000</x:v>
      </x:c>
      <x:c r="C318" s="34" t="n">
        <x:v>31087804</x:v>
      </x:c>
      <x:c r="D318" s="34" t="n">
        <x:v>49</x:v>
      </x:c>
      <x:c r="E318" s="34" t="str">
        <x:v>Elga7id</x:v>
      </x:c>
      <x:c r="F318" s="34" t="n">
        <x:v>128286</x:v>
      </x:c>
      <x:c r="G318" s="35" t="n">
        <x:f>IF(C318=0,0,F318/C318*B318)</x:f>
        <x:v>45.392270229186984</x:v>
      </x:c>
    </x:row>
    <x:row r="319">
      <x:c r="A319" s="33" t="str">
        <x:v>PvE Black</x:v>
      </x:c>
      <x:c r="B319" s="34" t="n">
        <x:v>11000</x:v>
      </x:c>
      <x:c r="C319" s="34" t="n">
        <x:v>31087804</x:v>
      </x:c>
      <x:c r="D319" s="34" t="n">
        <x:v>50</x:v>
      </x:c>
      <x:c r="E319" s="34" t="str">
        <x:v>Karz1N</x:v>
      </x:c>
      <x:c r="F319" s="34" t="n">
        <x:v>125805</x:v>
      </x:c>
      <x:c r="G319" s="35" t="n">
        <x:f>IF(C319=0,0,F319/C319*B319)</x:f>
        <x:v>44.514401853537166</x:v>
      </x:c>
    </x:row>
    <x:row r="320">
      <x:c r="A320" s="33" t="str">
        <x:v>PvE Black</x:v>
      </x:c>
      <x:c r="B320" s="34" t="n">
        <x:v>11000</x:v>
      </x:c>
      <x:c r="C320" s="34" t="n">
        <x:v>31087804</x:v>
      </x:c>
      <x:c r="D320" s="34" t="n">
        <x:v>51</x:v>
      </x:c>
      <x:c r="E320" s="34" t="str">
        <x:v>A2ar</x:v>
      </x:c>
      <x:c r="F320" s="34" t="n">
        <x:v>116041</x:v>
      </x:c>
      <x:c r="G320" s="35" t="n">
        <x:f>IF(C320=0,0,F320/C320*B320)</x:f>
        <x:v>41.059542192172856</x:v>
      </x:c>
    </x:row>
    <x:row r="321">
      <x:c r="A321" s="33" t="str">
        <x:v>PvE Black</x:v>
      </x:c>
      <x:c r="B321" s="34" t="n">
        <x:v>11000</x:v>
      </x:c>
      <x:c r="C321" s="34" t="n">
        <x:v>31087804</x:v>
      </x:c>
      <x:c r="D321" s="34" t="n">
        <x:v>52</x:v>
      </x:c>
      <x:c r="E321" s="34" t="str">
        <x:v>Temperamental</x:v>
      </x:c>
      <x:c r="F321" s="34" t="n">
        <x:v>109312</x:v>
      </x:c>
      <x:c r="G321" s="35" t="n">
        <x:f>IF(C321=0,0,F321/C321*B321)</x:f>
        <x:v>38.67857633173447</x:v>
      </x:c>
    </x:row>
    <x:row r="322">
      <x:c r="A322" s="33" t="str">
        <x:v>PvE Black</x:v>
      </x:c>
      <x:c r="B322" s="34" t="n">
        <x:v>11000</x:v>
      </x:c>
      <x:c r="C322" s="34" t="n">
        <x:v>31087804</x:v>
      </x:c>
      <x:c r="D322" s="34" t="n">
        <x:v>53</x:v>
      </x:c>
      <x:c r="E322" s="34" t="str">
        <x:v>Merlinavo</x:v>
      </x:c>
      <x:c r="F322" s="34" t="n">
        <x:v>107555</x:v>
      </x:c>
      <x:c r="G322" s="35" t="n">
        <x:f>IF(C322=0,0,F322/C322*B322)</x:f>
        <x:v>38.0568855876729</x:v>
      </x:c>
    </x:row>
    <x:row r="323">
      <x:c r="A323" s="33" t="str">
        <x:v>PvE Black</x:v>
      </x:c>
      <x:c r="B323" s="34" t="n">
        <x:v>11000</x:v>
      </x:c>
      <x:c r="C323" s="34" t="n">
        <x:v>31087804</x:v>
      </x:c>
      <x:c r="D323" s="34" t="n">
        <x:v>54</x:v>
      </x:c>
      <x:c r="E323" s="34" t="str">
        <x:v>BrEnnD</x:v>
      </x:c>
      <x:c r="F323" s="34" t="n">
        <x:v>103023</x:v>
      </x:c>
      <x:c r="G323" s="35" t="n">
        <x:f>IF(C323=0,0,F323/C323*B323)</x:f>
        <x:v>36.45329853469225</x:v>
      </x:c>
    </x:row>
    <x:row r="324">
      <x:c r="A324" s="33" t="str">
        <x:v>PvE Black</x:v>
      </x:c>
      <x:c r="B324" s="34" t="n">
        <x:v>11000</x:v>
      </x:c>
      <x:c r="C324" s="34" t="n">
        <x:v>31087804</x:v>
      </x:c>
      <x:c r="D324" s="34" t="n">
        <x:v>55</x:v>
      </x:c>
      <x:c r="E324" s="34" t="str">
        <x:v>OkiteKomi</x:v>
      </x:c>
      <x:c r="F324" s="34" t="n">
        <x:v>95377</x:v>
      </x:c>
      <x:c r="G324" s="35" t="n">
        <x:f>IF(C324=0,0,F324/C324*B324)</x:f>
        <x:v>33.74786459667592</x:v>
      </x:c>
    </x:row>
    <x:row r="325">
      <x:c r="A325" s="33" t="str">
        <x:v>PvE Black</x:v>
      </x:c>
      <x:c r="B325" s="34" t="n">
        <x:v>11000</x:v>
      </x:c>
      <x:c r="C325" s="34" t="n">
        <x:v>31087804</x:v>
      </x:c>
      <x:c r="D325" s="34" t="n">
        <x:v>56</x:v>
      </x:c>
      <x:c r="E325" s="34" t="str">
        <x:v>Soldier027</x:v>
      </x:c>
      <x:c r="F325" s="34" t="n">
        <x:v>93772</x:v>
      </x:c>
      <x:c r="G325" s="35" t="n">
        <x:f>IF(C325=0,0,F325/C325*B325)</x:f>
        <x:v>33.17995700178758</x:v>
      </x:c>
    </x:row>
    <x:row r="326">
      <x:c r="A326" s="33" t="str">
        <x:v>PvE Black</x:v>
      </x:c>
      <x:c r="B326" s="34" t="n">
        <x:v>11000</x:v>
      </x:c>
      <x:c r="C326" s="34" t="n">
        <x:v>31087804</x:v>
      </x:c>
      <x:c r="D326" s="34" t="n">
        <x:v>57</x:v>
      </x:c>
      <x:c r="E326" s="34" t="str">
        <x:v>Superpk</x:v>
      </x:c>
      <x:c r="F326" s="34" t="n">
        <x:v>91225</x:v>
      </x:c>
      <x:c r="G326" s="35" t="n">
        <x:f>IF(C326=0,0,F326/C326*B326)</x:f>
        <x:v>32.27873541662834</x:v>
      </x:c>
    </x:row>
    <x:row r="327">
      <x:c r="A327" s="33" t="str">
        <x:v>PvE Black</x:v>
      </x:c>
      <x:c r="B327" s="34" t="n">
        <x:v>11000</x:v>
      </x:c>
      <x:c r="C327" s="34" t="n">
        <x:v>31087804</x:v>
      </x:c>
      <x:c r="D327" s="34" t="n">
        <x:v>58</x:v>
      </x:c>
      <x:c r="E327" s="34" t="str">
        <x:v>Nandixx</x:v>
      </x:c>
      <x:c r="F327" s="34" t="n">
        <x:v>89701</x:v>
      </x:c>
      <x:c r="G327" s="35" t="n">
        <x:f>IF(C327=0,0,F327/C327*B327)</x:f>
        <x:v>31.739488578865203</x:v>
      </x:c>
    </x:row>
    <x:row r="328">
      <x:c r="A328" s="33" t="str">
        <x:v>PvE Black</x:v>
      </x:c>
      <x:c r="B328" s="34" t="n">
        <x:v>11000</x:v>
      </x:c>
      <x:c r="C328" s="34" t="n">
        <x:v>31087804</x:v>
      </x:c>
      <x:c r="D328" s="34" t="n">
        <x:v>59</x:v>
      </x:c>
      <x:c r="E328" s="34" t="str">
        <x:v>MYLOLA262</x:v>
      </x:c>
      <x:c r="F328" s="34" t="n">
        <x:v>88220</x:v>
      </x:c>
      <x:c r="G328" s="35" t="n">
        <x:f>IF(C328=0,0,F328/C328*B328)</x:f>
        <x:v>31.21545671093397</x:v>
      </x:c>
    </x:row>
    <x:row r="329">
      <x:c r="A329" s="33" t="str">
        <x:v>PvE Black</x:v>
      </x:c>
      <x:c r="B329" s="34" t="n">
        <x:v>11000</x:v>
      </x:c>
      <x:c r="C329" s="34" t="n">
        <x:v>31087804</x:v>
      </x:c>
      <x:c r="D329" s="34" t="n">
        <x:v>60</x:v>
      </x:c>
      <x:c r="E329" s="34" t="str">
        <x:v>LuiziN</x:v>
      </x:c>
      <x:c r="F329" s="34" t="n">
        <x:v>86572</x:v>
      </x:c>
      <x:c r="G329" s="35" t="n">
        <x:f>IF(C329=0,0,F329/C329*B329)</x:f>
        <x:v>30.632334146213736</x:v>
      </x:c>
    </x:row>
    <x:row r="330">
      <x:c r="A330" s="33" t="str">
        <x:v>PvE Black</x:v>
      </x:c>
      <x:c r="B330" s="34" t="n">
        <x:v>11000</x:v>
      </x:c>
      <x:c r="C330" s="34" t="n">
        <x:v>31087804</x:v>
      </x:c>
      <x:c r="D330" s="34" t="n">
        <x:v>61</x:v>
      </x:c>
      <x:c r="E330" s="34" t="str">
        <x:v>XIShanksXI</x:v>
      </x:c>
      <x:c r="F330" s="34" t="n">
        <x:v>84405</x:v>
      </x:c>
      <x:c r="G330" s="35" t="n">
        <x:f>IF(C330=0,0,F330/C330*B330)</x:f>
        <x:v>29.86557043398755</x:v>
      </x:c>
    </x:row>
    <x:row r="331">
      <x:c r="A331" s="33" t="str">
        <x:v>PvE Black</x:v>
      </x:c>
      <x:c r="B331" s="34" t="n">
        <x:v>11000</x:v>
      </x:c>
      <x:c r="C331" s="34" t="n">
        <x:v>31087804</x:v>
      </x:c>
      <x:c r="D331" s="34" t="n">
        <x:v>62</x:v>
      </x:c>
      <x:c r="E331" s="34" t="str">
        <x:v>vadisley</x:v>
      </x:c>
      <x:c r="F331" s="34" t="n">
        <x:v>81278</x:v>
      </x:c>
      <x:c r="G331" s="35" t="n">
        <x:f>IF(C331=0,0,F331/C331*B331)</x:f>
        <x:v>28.75912367435152</x:v>
      </x:c>
    </x:row>
    <x:row r="332">
      <x:c r="A332" s="33" t="str">
        <x:v>PvE Black</x:v>
      </x:c>
      <x:c r="B332" s="34" t="n">
        <x:v>11000</x:v>
      </x:c>
      <x:c r="C332" s="34" t="n">
        <x:v>31087804</x:v>
      </x:c>
      <x:c r="D332" s="34" t="n">
        <x:v>63</x:v>
      </x:c>
      <x:c r="E332" s="34" t="str">
        <x:v>theYousek</x:v>
      </x:c>
      <x:c r="F332" s="34" t="n">
        <x:v>78944</x:v>
      </x:c>
      <x:c r="G332" s="35" t="n">
        <x:f>IF(C332=0,0,F332/C332*B332)</x:f>
        <x:v>27.933269265336335</x:v>
      </x:c>
    </x:row>
    <x:row r="333">
      <x:c r="A333" s="33" t="str">
        <x:v>PvE Black</x:v>
      </x:c>
      <x:c r="B333" s="34" t="n">
        <x:v>11000</x:v>
      </x:c>
      <x:c r="C333" s="34" t="n">
        <x:v>31087804</x:v>
      </x:c>
      <x:c r="D333" s="34" t="n">
        <x:v>64</x:v>
      </x:c>
      <x:c r="E333" s="34" t="str">
        <x:v>WarlockLord</x:v>
      </x:c>
      <x:c r="F333" s="34" t="n">
        <x:v>75058</x:v>
      </x:c>
      <x:c r="G333" s="35" t="n">
        <x:f>IF(C333=0,0,F333/C333*B333)</x:f>
        <x:v>26.558260596341896</x:v>
      </x:c>
    </x:row>
    <x:row r="334">
      <x:c r="A334" s="33" t="str">
        <x:v>PvE Black</x:v>
      </x:c>
      <x:c r="B334" s="34" t="n">
        <x:v>11000</x:v>
      </x:c>
      <x:c r="C334" s="34" t="n">
        <x:v>31087804</x:v>
      </x:c>
      <x:c r="D334" s="34" t="n">
        <x:v>65</x:v>
      </x:c>
      <x:c r="E334" s="34" t="str">
        <x:v>Jabiroca1</x:v>
      </x:c>
      <x:c r="F334" s="34" t="n">
        <x:v>74006</x:v>
      </x:c>
      <x:c r="G334" s="35" t="n">
        <x:f>IF(C334=0,0,F334/C334*B334)</x:f>
        <x:v>26.186024590221937</x:v>
      </x:c>
    </x:row>
    <x:row r="335">
      <x:c r="A335" s="33" t="str">
        <x:v>PvE Black</x:v>
      </x:c>
      <x:c r="B335" s="34" t="n">
        <x:v>11000</x:v>
      </x:c>
      <x:c r="C335" s="34" t="n">
        <x:v>31087804</x:v>
      </x:c>
      <x:c r="D335" s="34" t="n">
        <x:v>66</x:v>
      </x:c>
      <x:c r="E335" s="34" t="str">
        <x:v>VTracer</x:v>
      </x:c>
      <x:c r="F335" s="34" t="n">
        <x:v>73851</x:v>
      </x:c>
      <x:c r="G335" s="35" t="n">
        <x:f>IF(C335=0,0,F335/C335*B335)</x:f>
        <x:v>26.13117993152556</x:v>
      </x:c>
    </x:row>
    <x:row r="336">
      <x:c r="A336" s="33" t="str">
        <x:v>PvE Black</x:v>
      </x:c>
      <x:c r="B336" s="34" t="n">
        <x:v>11000</x:v>
      </x:c>
      <x:c r="C336" s="34" t="n">
        <x:v>31087804</x:v>
      </x:c>
      <x:c r="D336" s="34" t="n">
        <x:v>67</x:v>
      </x:c>
      <x:c r="E336" s="34" t="str">
        <x:v>VnfaTI</x:v>
      </x:c>
      <x:c r="F336" s="34" t="n">
        <x:v>73294</x:v>
      </x:c>
      <x:c r="G336" s="35" t="n">
        <x:f>IF(C336=0,0,F336/C336*B336)</x:f>
        <x:v>25.934092996726303</x:v>
      </x:c>
    </x:row>
    <x:row r="337">
      <x:c r="A337" s="33" t="str">
        <x:v>PvE Black</x:v>
      </x:c>
      <x:c r="B337" s="34" t="n">
        <x:v>11000</x:v>
      </x:c>
      <x:c r="C337" s="34" t="n">
        <x:v>31087804</x:v>
      </x:c>
      <x:c r="D337" s="34" t="n">
        <x:v>68</x:v>
      </x:c>
      <x:c r="E337" s="34" t="str">
        <x:v>MonetaryMike</x:v>
      </x:c>
      <x:c r="F337" s="34" t="n">
        <x:v>73115</x:v>
      </x:c>
      <x:c r="G337" s="35" t="n">
        <x:f>IF(C337=0,0,F337/C337*B337)</x:f>
        <x:v>25.870756261844676</x:v>
      </x:c>
    </x:row>
    <x:row r="338">
      <x:c r="A338" s="33" t="str">
        <x:v>PvE Black</x:v>
      </x:c>
      <x:c r="B338" s="34" t="n">
        <x:v>11000</x:v>
      </x:c>
      <x:c r="C338" s="34" t="n">
        <x:v>31087804</x:v>
      </x:c>
      <x:c r="D338" s="34" t="n">
        <x:v>69</x:v>
      </x:c>
      <x:c r="E338" s="34" t="str">
        <x:v>Grockyy</x:v>
      </x:c>
      <x:c r="F338" s="34" t="n">
        <x:v>72952</x:v>
      </x:c>
      <x:c r="G338" s="35" t="n">
        <x:f>IF(C338=0,0,F338/C338*B338)</x:f>
        <x:v>25.813080911086544</x:v>
      </x:c>
    </x:row>
    <x:row r="339">
      <x:c r="A339" s="33" t="str">
        <x:v>PvE Black</x:v>
      </x:c>
      <x:c r="B339" s="34" t="n">
        <x:v>11000</x:v>
      </x:c>
      <x:c r="C339" s="34" t="n">
        <x:v>31087804</x:v>
      </x:c>
      <x:c r="D339" s="34" t="n">
        <x:v>70</x:v>
      </x:c>
      <x:c r="E339" s="34" t="str">
        <x:v>Hachixi</x:v>
      </x:c>
      <x:c r="F339" s="34" t="n">
        <x:v>71665</x:v>
      </x:c>
      <x:c r="G339" s="35" t="n">
        <x:f>IF(C339=0,0,F339/C339*B339)</x:f>
        <x:v>25.357693325652722</x:v>
      </x:c>
    </x:row>
    <x:row r="340">
      <x:c r="A340" s="33" t="str">
        <x:v>PvE Black</x:v>
      </x:c>
      <x:c r="B340" s="34" t="n">
        <x:v>11000</x:v>
      </x:c>
      <x:c r="C340" s="34" t="n">
        <x:v>31087804</x:v>
      </x:c>
      <x:c r="D340" s="34" t="n">
        <x:v>71</x:v>
      </x:c>
      <x:c r="E340" s="34" t="str">
        <x:v>Djwd</x:v>
      </x:c>
      <x:c r="F340" s="34" t="n">
        <x:v>66941</x:v>
      </x:c>
      <x:c r="G340" s="35" t="n">
        <x:f>IF(C340=0,0,F340/C340*B340)</x:f>
        <x:v>23.686169663190103</x:v>
      </x:c>
    </x:row>
    <x:row r="341">
      <x:c r="A341" s="33" t="str">
        <x:v>PvE Black</x:v>
      </x:c>
      <x:c r="B341" s="34" t="n">
        <x:v>11000</x:v>
      </x:c>
      <x:c r="C341" s="34" t="n">
        <x:v>31087804</x:v>
      </x:c>
      <x:c r="D341" s="34" t="n">
        <x:v>72</x:v>
      </x:c>
      <x:c r="E341" s="34" t="str">
        <x:v>LEOPOLD</x:v>
      </x:c>
      <x:c r="F341" s="34" t="n">
        <x:v>62420</x:v>
      </x:c>
      <x:c r="G341" s="35" t="n">
        <x:f>IF(C341=0,0,F341/C341*B341)</x:f>
        <x:v>22.08647481179436</x:v>
      </x:c>
    </x:row>
    <x:row r="342">
      <x:c r="A342" s="33" t="str">
        <x:v>PvE Black</x:v>
      </x:c>
      <x:c r="B342" s="34" t="n">
        <x:v>11000</x:v>
      </x:c>
      <x:c r="C342" s="34" t="n">
        <x:v>31087804</x:v>
      </x:c>
      <x:c r="D342" s="34" t="n">
        <x:v>73</x:v>
      </x:c>
      <x:c r="E342" s="34" t="str">
        <x:v>Chuckzerah</x:v>
      </x:c>
      <x:c r="F342" s="34" t="n">
        <x:v>59896</x:v>
      </x:c>
      <x:c r="G342" s="35" t="n">
        <x:f>IF(C342=0,0,F342/C342*B342)</x:f>
        <x:v>21.19339146631264</x:v>
      </x:c>
    </x:row>
    <x:row r="343">
      <x:c r="A343" s="33" t="str">
        <x:v>PvE Black</x:v>
      </x:c>
      <x:c r="B343" s="34" t="n">
        <x:v>11000</x:v>
      </x:c>
      <x:c r="C343" s="34" t="n">
        <x:v>31087804</x:v>
      </x:c>
      <x:c r="D343" s="34" t="n">
        <x:v>74</x:v>
      </x:c>
      <x:c r="E343" s="34" t="str">
        <x:v>Lumen821</x:v>
      </x:c>
      <x:c r="F343" s="34" t="n">
        <x:v>53449</x:v>
      </x:c>
      <x:c r="G343" s="35" t="n">
        <x:f>IF(C343=0,0,F343/C343*B343)</x:f>
        <x:v>18.912207501050894</x:v>
      </x:c>
    </x:row>
    <x:row r="344">
      <x:c r="A344" s="33" t="str">
        <x:v>PvE Black</x:v>
      </x:c>
      <x:c r="B344" s="34" t="n">
        <x:v>11000</x:v>
      </x:c>
      <x:c r="C344" s="34" t="n">
        <x:v>31087804</x:v>
      </x:c>
      <x:c r="D344" s="34" t="n">
        <x:v>75</x:v>
      </x:c>
      <x:c r="E344" s="34" t="str">
        <x:v>MaxHardcore</x:v>
      </x:c>
      <x:c r="F344" s="34" t="n">
        <x:v>52342</x:v>
      </x:c>
      <x:c r="G344" s="35" t="n">
        <x:f>IF(C344=0,0,F344/C344*B344)</x:f>
        <x:v>18.520510487006415</x:v>
      </x:c>
    </x:row>
    <x:row r="345">
      <x:c r="A345" s="33" t="str">
        <x:v>PvE Black</x:v>
      </x:c>
      <x:c r="B345" s="34" t="n">
        <x:v>11000</x:v>
      </x:c>
      <x:c r="C345" s="34" t="n">
        <x:v>31087804</x:v>
      </x:c>
      <x:c r="D345" s="34" t="n">
        <x:v>76</x:v>
      </x:c>
      <x:c r="E345" s="34" t="str">
        <x:v>BBob</x:v>
      </x:c>
      <x:c r="F345" s="34" t="n">
        <x:v>50598</x:v>
      </x:c>
      <x:c r="G345" s="35" t="n">
        <x:f>IF(C345=0,0,F345/C345*B345)</x:f>
        <x:v>17.903419617545197</x:v>
      </x:c>
    </x:row>
    <x:row r="346">
      <x:c r="A346" s="33" t="str">
        <x:v>PvE Black</x:v>
      </x:c>
      <x:c r="B346" s="34" t="n">
        <x:v>11000</x:v>
      </x:c>
      <x:c r="C346" s="34" t="n">
        <x:v>31087804</x:v>
      </x:c>
      <x:c r="D346" s="34" t="n">
        <x:v>77</x:v>
      </x:c>
      <x:c r="E346" s="34" t="str">
        <x:v>Reguilla</x:v>
      </x:c>
      <x:c r="F346" s="34" t="n">
        <x:v>50301</x:v>
      </x:c>
      <x:c r="G346" s="35" t="n">
        <x:f>IF(C346=0,0,F346/C346*B346)</x:f>
        <x:v>17.798330174752774</x:v>
      </x:c>
    </x:row>
    <x:row r="347">
      <x:c r="A347" s="33" t="str">
        <x:v>PvE Black</x:v>
      </x:c>
      <x:c r="B347" s="34" t="n">
        <x:v>11000</x:v>
      </x:c>
      <x:c r="C347" s="34" t="n">
        <x:v>31087804</x:v>
      </x:c>
      <x:c r="D347" s="34" t="n">
        <x:v>78</x:v>
      </x:c>
      <x:c r="E347" s="34" t="str">
        <x:v>Davimix</x:v>
      </x:c>
      <x:c r="F347" s="34" t="n">
        <x:v>42837</x:v>
      </x:c>
      <x:c r="G347" s="35" t="n">
        <x:f>IF(C347=0,0,F347/C347*B347)</x:f>
        <x:v>15.157294481141221</x:v>
      </x:c>
    </x:row>
    <x:row r="348">
      <x:c r="A348" s="33" t="str">
        <x:v>PvE Black</x:v>
      </x:c>
      <x:c r="B348" s="34" t="n">
        <x:v>11000</x:v>
      </x:c>
      <x:c r="C348" s="34" t="n">
        <x:v>31087804</x:v>
      </x:c>
      <x:c r="D348" s="34" t="n">
        <x:v>79</x:v>
      </x:c>
      <x:c r="E348" s="34" t="str">
        <x:v>LORDJAPAA</x:v>
      </x:c>
      <x:c r="F348" s="34" t="n">
        <x:v>39769</x:v>
      </x:c>
      <x:c r="G348" s="35" t="n">
        <x:f>IF(C348=0,0,F348/C348*B348)</x:f>
        <x:v>14.071724075460589</x:v>
      </x:c>
    </x:row>
    <x:row r="349">
      <x:c r="A349" s="33" t="str">
        <x:v>PvE Black</x:v>
      </x:c>
      <x:c r="B349" s="34" t="n">
        <x:v>11000</x:v>
      </x:c>
      <x:c r="C349" s="34" t="n">
        <x:v>31087804</x:v>
      </x:c>
      <x:c r="D349" s="34" t="n">
        <x:v>80</x:v>
      </x:c>
      <x:c r="E349" s="34" t="str">
        <x:v>Sum0l</x:v>
      </x:c>
      <x:c r="F349" s="34" t="n">
        <x:v>37019</x:v>
      </x:c>
      <x:c r="G349" s="35" t="n">
        <x:f>IF(C349=0,0,F349/C349*B349)</x:f>
        <x:v>13.09867367923447</x:v>
      </x:c>
    </x:row>
    <x:row r="350">
      <x:c r="A350" s="33" t="str">
        <x:v>PvE Black</x:v>
      </x:c>
      <x:c r="B350" s="34" t="n">
        <x:v>11000</x:v>
      </x:c>
      <x:c r="C350" s="34" t="n">
        <x:v>31087804</x:v>
      </x:c>
      <x:c r="D350" s="34" t="n">
        <x:v>81</x:v>
      </x:c>
      <x:c r="E350" s="34" t="str">
        <x:v>Groom84</x:v>
      </x:c>
      <x:c r="F350" s="34" t="n">
        <x:v>35544</x:v>
      </x:c>
      <x:c r="G350" s="35" t="n">
        <x:f>IF(C350=0,0,F350/C350*B350)</x:f>
        <x:v>12.576764830349548</x:v>
      </x:c>
    </x:row>
    <x:row r="351">
      <x:c r="A351" s="33" t="str">
        <x:v>PvE Black</x:v>
      </x:c>
      <x:c r="B351" s="34" t="n">
        <x:v>11000</x:v>
      </x:c>
      <x:c r="C351" s="34" t="n">
        <x:v>31087804</x:v>
      </x:c>
      <x:c r="D351" s="34" t="n">
        <x:v>82</x:v>
      </x:c>
      <x:c r="E351" s="34" t="str">
        <x:v>RobertXVII</x:v>
      </x:c>
      <x:c r="F351" s="34" t="n">
        <x:v>30964</x:v>
      </x:c>
      <x:c r="G351" s="35" t="n">
        <x:f>IF(C351=0,0,F351/C351*B351)</x:f>
        <x:v>10.956193624998408</x:v>
      </x:c>
    </x:row>
    <x:row r="352">
      <x:c r="A352" s="33" t="str">
        <x:v>PvE Black</x:v>
      </x:c>
      <x:c r="B352" s="34" t="n">
        <x:v>11000</x:v>
      </x:c>
      <x:c r="C352" s="34" t="n">
        <x:v>31087804</x:v>
      </x:c>
      <x:c r="D352" s="34" t="n">
        <x:v>83</x:v>
      </x:c>
      <x:c r="E352" s="34" t="str">
        <x:v>Guislave</x:v>
      </x:c>
      <x:c r="F352" s="34" t="n">
        <x:v>30106</x:v>
      </x:c>
      <x:c r="G352" s="35" t="n">
        <x:f>IF(C352=0,0,F352/C352*B352)</x:f>
        <x:v>10.652601901375858</x:v>
      </x:c>
    </x:row>
    <x:row r="353">
      <x:c r="A353" s="33" t="str">
        <x:v>PvE Black</x:v>
      </x:c>
      <x:c r="B353" s="34" t="n">
        <x:v>11000</x:v>
      </x:c>
      <x:c r="C353" s="34" t="n">
        <x:v>31087804</x:v>
      </x:c>
      <x:c r="D353" s="34" t="n">
        <x:v>84</x:v>
      </x:c>
      <x:c r="E353" s="34" t="str">
        <x:v>IPPON</x:v>
      </x:c>
      <x:c r="F353" s="34" t="n">
        <x:v>29687</x:v>
      </x:c>
      <x:c r="G353" s="35" t="n">
        <x:f>IF(C353=0,0,F353/C353*B353)</x:f>
        <x:v>10.504344404641769</x:v>
      </x:c>
    </x:row>
    <x:row r="354">
      <x:c r="A354" s="33" t="str">
        <x:v>PvE Black</x:v>
      </x:c>
      <x:c r="B354" s="34" t="n">
        <x:v>11000</x:v>
      </x:c>
      <x:c r="C354" s="34" t="n">
        <x:v>31087804</x:v>
      </x:c>
      <x:c r="D354" s="34" t="n">
        <x:v>85</x:v>
      </x:c>
      <x:c r="E354" s="34" t="str">
        <x:v>KatarinaSemC</x:v>
      </x:c>
      <x:c r="F354" s="34" t="n">
        <x:v>28654</x:v>
      </x:c>
      <x:c r="G354" s="35" t="n">
        <x:f>IF(C354=0,0,F354/C354*B354)</x:f>
        <x:v>10.138831292168465</x:v>
      </x:c>
    </x:row>
    <x:row r="355">
      <x:c r="A355" s="33" t="str">
        <x:v>PvE Black</x:v>
      </x:c>
      <x:c r="B355" s="34" t="n">
        <x:v>11000</x:v>
      </x:c>
      <x:c r="C355" s="34" t="n">
        <x:v>31087804</x:v>
      </x:c>
      <x:c r="D355" s="34" t="n">
        <x:v>86</x:v>
      </x:c>
      <x:c r="E355" s="34" t="str">
        <x:v>julszthaone</x:v>
      </x:c>
      <x:c r="F355" s="34" t="n">
        <x:v>28102</x:v>
      </x:c>
      <x:c r="G355" s="35" t="n">
        <x:f>IF(C355=0,0,F355/C355*B355)</x:f>
        <x:v>9.943513539907805</x:v>
      </x:c>
    </x:row>
    <x:row r="356">
      <x:c r="A356" s="33" t="str">
        <x:v>PvE Black</x:v>
      </x:c>
      <x:c r="B356" s="34" t="n">
        <x:v>11000</x:v>
      </x:c>
      <x:c r="C356" s="34" t="n">
        <x:v>31087804</x:v>
      </x:c>
      <x:c r="D356" s="34" t="n">
        <x:v>87</x:v>
      </x:c>
      <x:c r="E356" s="34" t="str">
        <x:v>teessa</x:v>
      </x:c>
      <x:c r="F356" s="34" t="n">
        <x:v>25427</x:v>
      </x:c>
      <x:c r="G356" s="35" t="n">
        <x:f>IF(C356=0,0,F356/C356*B356)</x:f>
        <x:v>8.997000881760577</x:v>
      </x:c>
    </x:row>
    <x:row r="357">
      <x:c r="A357" s="33" t="str">
        <x:v>PvE Black</x:v>
      </x:c>
      <x:c r="B357" s="34" t="n">
        <x:v>11000</x:v>
      </x:c>
      <x:c r="C357" s="34" t="n">
        <x:v>31087804</x:v>
      </x:c>
      <x:c r="D357" s="34" t="n">
        <x:v>88</x:v>
      </x:c>
      <x:c r="E357" s="34" t="str">
        <x:v>MissyPT</x:v>
      </x:c>
      <x:c r="F357" s="34" t="n">
        <x:v>24574</x:v>
      </x:c>
      <x:c r="G357" s="35" t="n">
        <x:f>IF(C357=0,0,F357/C357*B357)</x:f>
        <x:v>8.695178340676621</x:v>
      </x:c>
    </x:row>
    <x:row r="358">
      <x:c r="A358" s="33" t="str">
        <x:v>PvE Black</x:v>
      </x:c>
      <x:c r="B358" s="34" t="n">
        <x:v>11000</x:v>
      </x:c>
      <x:c r="C358" s="34" t="n">
        <x:v>31087804</x:v>
      </x:c>
      <x:c r="D358" s="34" t="n">
        <x:v>89</x:v>
      </x:c>
      <x:c r="E358" s="34" t="str">
        <x:v>3YS4N</x:v>
      </x:c>
      <x:c r="F358" s="34" t="n">
        <x:v>21465</x:v>
      </x:c>
      <x:c r="G358" s="35" t="n">
        <x:f>IF(C358=0,0,F358/C358*B358)</x:f>
        <x:v>7.595100638179526</x:v>
      </x:c>
    </x:row>
    <x:row r="359">
      <x:c r="A359" s="33" t="str">
        <x:v>PvE Black</x:v>
      </x:c>
      <x:c r="B359" s="34" t="n">
        <x:v>11000</x:v>
      </x:c>
      <x:c r="C359" s="34" t="n">
        <x:v>31087804</x:v>
      </x:c>
      <x:c r="D359" s="34" t="n">
        <x:v>90</x:v>
      </x:c>
      <x:c r="E359" s="34" t="str">
        <x:v>TheoTheLion</x:v>
      </x:c>
      <x:c r="F359" s="34" t="n">
        <x:v>21268</x:v>
      </x:c>
      <x:c r="G359" s="35" t="n">
        <x:f>IF(C359=0,0,F359/C359*B359)</x:f>
        <x:v>7.525394846158963</x:v>
      </x:c>
    </x:row>
    <x:row r="360">
      <x:c r="A360" s="33" t="str">
        <x:v>PvE Black</x:v>
      </x:c>
      <x:c r="B360" s="34" t="n">
        <x:v>11000</x:v>
      </x:c>
      <x:c r="C360" s="34" t="n">
        <x:v>31087804</x:v>
      </x:c>
      <x:c r="D360" s="34" t="n">
        <x:v>91</x:v>
      </x:c>
      <x:c r="E360" s="34" t="str">
        <x:v>MachoAlpha</x:v>
      </x:c>
      <x:c r="F360" s="34" t="n">
        <x:v>21151</x:v>
      </x:c>
      <x:c r="G360" s="35" t="n">
        <x:f>IF(C360=0,0,F360/C360*B360)</x:f>
        <x:v>7.483995974755889</x:v>
      </x:c>
    </x:row>
    <x:row r="361">
      <x:c r="A361" s="33" t="str">
        <x:v>PvE Black</x:v>
      </x:c>
      <x:c r="B361" s="34" t="n">
        <x:v>11000</x:v>
      </x:c>
      <x:c r="C361" s="34" t="n">
        <x:v>31087804</x:v>
      </x:c>
      <x:c r="D361" s="34" t="n">
        <x:v>92</x:v>
      </x:c>
      <x:c r="E361" s="34" t="str">
        <x:v>YukitoRaiden</x:v>
      </x:c>
      <x:c r="F361" s="34" t="n">
        <x:v>20913</x:v>
      </x:c>
      <x:c r="G361" s="35" t="n">
        <x:f>IF(C361=0,0,F361/C361*B361)</x:f>
        <x:v>7.399782885918864</x:v>
      </x:c>
    </x:row>
    <x:row r="362">
      <x:c r="A362" s="33" t="str">
        <x:v>PvE Black</x:v>
      </x:c>
      <x:c r="B362" s="34" t="n">
        <x:v>11000</x:v>
      </x:c>
      <x:c r="C362" s="34" t="n">
        <x:v>31087804</x:v>
      </x:c>
      <x:c r="D362" s="34" t="n">
        <x:v>93</x:v>
      </x:c>
      <x:c r="E362" s="34" t="str">
        <x:v>Davllmix</x:v>
      </x:c>
      <x:c r="F362" s="34" t="n">
        <x:v>20739</x:v>
      </x:c>
      <x:c r="G362" s="35" t="n">
        <x:f>IF(C362=0,0,F362/C362*B362)</x:f>
        <x:v>7.338215333575829</x:v>
      </x:c>
    </x:row>
    <x:row r="363">
      <x:c r="A363" s="33" t="str">
        <x:v>PvE Black</x:v>
      </x:c>
      <x:c r="B363" s="34" t="n">
        <x:v>11000</x:v>
      </x:c>
      <x:c r="C363" s="34" t="n">
        <x:v>31087804</x:v>
      </x:c>
      <x:c r="D363" s="34" t="n">
        <x:v>94</x:v>
      </x:c>
      <x:c r="E363" s="34" t="str">
        <x:v>MARIOMALAN</x:v>
      </x:c>
      <x:c r="F363" s="34" t="n">
        <x:v>19985</x:v>
      </x:c>
      <x:c r="G363" s="35" t="n">
        <x:f>IF(C363=0,0,F363/C363*B363)</x:f>
        <x:v>7.071422606756013</x:v>
      </x:c>
    </x:row>
    <x:row r="364">
      <x:c r="A364" s="33" t="str">
        <x:v>PvE Black</x:v>
      </x:c>
      <x:c r="B364" s="34" t="n">
        <x:v>11000</x:v>
      </x:c>
      <x:c r="C364" s="34" t="n">
        <x:v>31087804</x:v>
      </x:c>
      <x:c r="D364" s="34" t="n">
        <x:v>95</x:v>
      </x:c>
      <x:c r="E364" s="34" t="str">
        <x:v>SeuDanadoo</x:v>
      </x:c>
      <x:c r="F364" s="34" t="n">
        <x:v>18067</x:v>
      </x:c>
      <x:c r="G364" s="35" t="n">
        <x:f>IF(C364=0,0,F364/C364*B364)</x:f>
        <x:v>6.392764184951758</x:v>
      </x:c>
    </x:row>
    <x:row r="365">
      <x:c r="A365" s="33" t="str">
        <x:v>PvE Black</x:v>
      </x:c>
      <x:c r="B365" s="34" t="n">
        <x:v>11000</x:v>
      </x:c>
      <x:c r="C365" s="34" t="n">
        <x:v>31087804</x:v>
      </x:c>
      <x:c r="D365" s="34" t="n">
        <x:v>96</x:v>
      </x:c>
      <x:c r="E365" s="34" t="str">
        <x:v>Imortal</x:v>
      </x:c>
      <x:c r="F365" s="34" t="n">
        <x:v>17894</x:v>
      </x:c>
      <x:c r="G365" s="35" t="n">
        <x:f>IF(C365=0,0,F365/C365*B365)</x:f>
        <x:v>6.331550469116442</x:v>
      </x:c>
    </x:row>
    <x:row r="366">
      <x:c r="A366" s="33" t="str">
        <x:v>PvE Black</x:v>
      </x:c>
      <x:c r="B366" s="34" t="n">
        <x:v>11000</x:v>
      </x:c>
      <x:c r="C366" s="34" t="n">
        <x:v>31087804</x:v>
      </x:c>
      <x:c r="D366" s="34" t="n">
        <x:v>97</x:v>
      </x:c>
      <x:c r="E366" s="34" t="str">
        <x:v>morrty</x:v>
      </x:c>
      <x:c r="F366" s="34" t="n">
        <x:v>17833</x:v>
      </x:c>
      <x:c r="G366" s="35" t="n">
        <x:f>IF(C366=0,0,F366/C366*B366)</x:f>
        <x:v>6.309966442145607</x:v>
      </x:c>
    </x:row>
    <x:row r="367">
      <x:c r="A367" s="33" t="str">
        <x:v>PvE Black</x:v>
      </x:c>
      <x:c r="B367" s="34" t="n">
        <x:v>11000</x:v>
      </x:c>
      <x:c r="C367" s="34" t="n">
        <x:v>31087804</x:v>
      </x:c>
      <x:c r="D367" s="34" t="n">
        <x:v>98</x:v>
      </x:c>
      <x:c r="E367" s="34" t="str">
        <x:v>Hlinha</x:v>
      </x:c>
      <x:c r="F367" s="34" t="n">
        <x:v>16908</x:v>
      </x:c>
      <x:c r="G367" s="35" t="n">
        <x:f>IF(C367=0,0,F367/C367*B367)</x:f>
        <x:v>5.9826676725059125</x:v>
      </x:c>
    </x:row>
    <x:row r="368">
      <x:c r="A368" s="33" t="str">
        <x:v>PvE Black</x:v>
      </x:c>
      <x:c r="B368" s="34" t="n">
        <x:v>11000</x:v>
      </x:c>
      <x:c r="C368" s="34" t="n">
        <x:v>31087804</x:v>
      </x:c>
      <x:c r="D368" s="34" t="n">
        <x:v>99</x:v>
      </x:c>
      <x:c r="E368" s="34" t="str">
        <x:v>OlhaOPassarinho</x:v>
      </x:c>
      <x:c r="F368" s="34" t="n">
        <x:v>16269</x:v>
      </x:c>
      <x:c r="G368" s="35" t="n">
        <x:f>IF(C368=0,0,F368/C368*B368)</x:f>
        <x:v>5.756566144073735</x:v>
      </x:c>
    </x:row>
    <x:row r="369">
      <x:c r="A369" s="33" t="str">
        <x:v>PvE Black</x:v>
      </x:c>
      <x:c r="B369" s="34" t="n">
        <x:v>11000</x:v>
      </x:c>
      <x:c r="C369" s="34" t="n">
        <x:v>31087804</x:v>
      </x:c>
      <x:c r="D369" s="34" t="n">
        <x:v>100</x:v>
      </x:c>
      <x:c r="E369" s="34" t="str">
        <x:v>SuSex</x:v>
      </x:c>
      <x:c r="F369" s="34" t="n">
        <x:v>15455</x:v>
      </x:c>
      <x:c r="G369" s="35" t="n">
        <x:f>IF(C369=0,0,F369/C369*B369)</x:f>
        <x:v>5.468543226790802</x:v>
      </x:c>
    </x:row>
    <x:row r="370">
      <x:c r="A370" s="33" t="str">
        <x:v>PvE Black</x:v>
      </x:c>
      <x:c r="B370" s="34" t="n">
        <x:v>11000</x:v>
      </x:c>
      <x:c r="C370" s="34" t="n">
        <x:v>31087804</x:v>
      </x:c>
      <x:c r="D370" s="34" t="n">
        <x:v>101</x:v>
      </x:c>
      <x:c r="E370" s="34" t="str">
        <x:v>2PowerGiat</x:v>
      </x:c>
      <x:c r="F370" s="34" t="n">
        <x:v>15225</x:v>
      </x:c>
      <x:c r="G370" s="35" t="n">
        <x:f>IF(C370=0,0,F370/C370*B370)</x:f>
        <x:v>5.387160830015526</x:v>
      </x:c>
    </x:row>
    <x:row r="371">
      <x:c r="A371" s="33" t="str">
        <x:v>PvE Black</x:v>
      </x:c>
      <x:c r="B371" s="34" t="n">
        <x:v>11000</x:v>
      </x:c>
      <x:c r="C371" s="34" t="n">
        <x:v>31087804</x:v>
      </x:c>
      <x:c r="D371" s="34" t="n">
        <x:v>102</x:v>
      </x:c>
      <x:c r="E371" s="34" t="str">
        <x:v>kadigo</x:v>
      </x:c>
      <x:c r="F371" s="34" t="n">
        <x:v>14746</x:v>
      </x:c>
      <x:c r="G371" s="35" t="n">
        <x:f>IF(C371=0,0,F371/C371*B371)</x:f>
        <x:v>5.217673142818322</x:v>
      </x:c>
    </x:row>
    <x:row r="372">
      <x:c r="A372" s="33" t="str">
        <x:v>PvE Black</x:v>
      </x:c>
      <x:c r="B372" s="34" t="n">
        <x:v>11000</x:v>
      </x:c>
      <x:c r="C372" s="34" t="n">
        <x:v>31087804</x:v>
      </x:c>
      <x:c r="D372" s="34" t="n">
        <x:v>103</x:v>
      </x:c>
      <x:c r="E372" s="34" t="str">
        <x:v>BWCTuga</x:v>
      </x:c>
      <x:c r="F372" s="34" t="n">
        <x:v>14648</x:v>
      </x:c>
      <x:c r="G372" s="35" t="n">
        <x:f>IF(C372=0,0,F372/C372*B372)</x:f>
        <x:v>5.1829971650619</x:v>
      </x:c>
    </x:row>
    <x:row r="373">
      <x:c r="A373" s="33" t="str">
        <x:v>PvE Black</x:v>
      </x:c>
      <x:c r="B373" s="34" t="n">
        <x:v>11000</x:v>
      </x:c>
      <x:c r="C373" s="34" t="n">
        <x:v>31087804</x:v>
      </x:c>
      <x:c r="D373" s="34" t="n">
        <x:v>104</x:v>
      </x:c>
      <x:c r="E373" s="34" t="str">
        <x:v>Tuga95</x:v>
      </x:c>
      <x:c r="F373" s="34" t="n">
        <x:v>14381</x:v>
      </x:c>
      <x:c r="G373" s="35" t="n">
        <x:f>IF(C373=0,0,F373/C373*B373)</x:f>
        <x:v>5.088522817501037</x:v>
      </x:c>
    </x:row>
    <x:row r="374">
      <x:c r="A374" s="33" t="str">
        <x:v>PvE Black</x:v>
      </x:c>
      <x:c r="B374" s="34" t="n">
        <x:v>11000</x:v>
      </x:c>
      <x:c r="C374" s="34" t="n">
        <x:v>31087804</x:v>
      </x:c>
      <x:c r="D374" s="34" t="n">
        <x:v>105</x:v>
      </x:c>
      <x:c r="E374" s="34" t="str">
        <x:v>Lostmothers</x:v>
      </x:c>
      <x:c r="F374" s="34" t="n">
        <x:v>14265</x:v>
      </x:c>
      <x:c r="G374" s="35" t="n">
        <x:f>IF(C374=0,0,F374/C374*B374)</x:f>
        <x:v>5.0474777826056805</x:v>
      </x:c>
    </x:row>
    <x:row r="375">
      <x:c r="A375" s="33" t="str">
        <x:v>PvE Black</x:v>
      </x:c>
      <x:c r="B375" s="34" t="n">
        <x:v>11000</x:v>
      </x:c>
      <x:c r="C375" s="34" t="n">
        <x:v>31087804</x:v>
      </x:c>
      <x:c r="D375" s="34" t="n">
        <x:v>106</x:v>
      </x:c>
      <x:c r="E375" s="34" t="str">
        <x:v>Warm4m</x:v>
      </x:c>
      <x:c r="F375" s="34" t="n">
        <x:v>14237</x:v>
      </x:c>
      <x:c r="G375" s="35" t="n">
        <x:f>IF(C375=0,0,F375/C375*B375)</x:f>
        <x:v>5.03757036038956</x:v>
      </x:c>
    </x:row>
    <x:row r="376">
      <x:c r="A376" s="33" t="str">
        <x:v>PvE Black</x:v>
      </x:c>
      <x:c r="B376" s="34" t="n">
        <x:v>11000</x:v>
      </x:c>
      <x:c r="C376" s="34" t="n">
        <x:v>31087804</x:v>
      </x:c>
      <x:c r="D376" s="34" t="n">
        <x:v>107</x:v>
      </x:c>
      <x:c r="E376" s="34" t="str">
        <x:v>ToastT</x:v>
      </x:c>
      <x:c r="F376" s="34" t="n">
        <x:v>13877</x:v>
      </x:c>
      <x:c r="G376" s="35" t="n">
        <x:f>IF(C376=0,0,F376/C376*B376)</x:f>
        <x:v>4.910189217610867</x:v>
      </x:c>
    </x:row>
    <x:row r="377">
      <x:c r="A377" s="33" t="str">
        <x:v>PvE Black</x:v>
      </x:c>
      <x:c r="B377" s="34" t="n">
        <x:v>11000</x:v>
      </x:c>
      <x:c r="C377" s="34" t="n">
        <x:v>31087804</x:v>
      </x:c>
      <x:c r="D377" s="34" t="n">
        <x:v>108</x:v>
      </x:c>
      <x:c r="E377" s="34" t="str">
        <x:v>Jarjarjeanbon</x:v>
      </x:c>
      <x:c r="F377" s="34" t="n">
        <x:v>12614</x:v>
      </x:c>
      <x:c r="G377" s="35" t="n">
        <x:f>IF(C377=0,0,F377/C377*B377)</x:f>
        <x:v>4.463293708362289</x:v>
      </x:c>
    </x:row>
    <x:row r="378">
      <x:c r="A378" s="33" t="str">
        <x:v>PvE Black</x:v>
      </x:c>
      <x:c r="B378" s="34" t="n">
        <x:v>11000</x:v>
      </x:c>
      <x:c r="C378" s="34" t="n">
        <x:v>31087804</x:v>
      </x:c>
      <x:c r="D378" s="34" t="n">
        <x:v>109</x:v>
      </x:c>
      <x:c r="E378" s="34" t="str">
        <x:v>Superrr2855</x:v>
      </x:c>
      <x:c r="F378" s="34" t="n">
        <x:v>12604</x:v>
      </x:c>
      <x:c r="G378" s="35" t="n">
        <x:f>IF(C378=0,0,F378/C378*B378)</x:f>
        <x:v>4.459755343285103</x:v>
      </x:c>
    </x:row>
    <x:row r="379">
      <x:c r="A379" s="33" t="str">
        <x:v>PvE Black</x:v>
      </x:c>
      <x:c r="B379" s="34" t="n">
        <x:v>11000</x:v>
      </x:c>
      <x:c r="C379" s="34" t="n">
        <x:v>31087804</x:v>
      </x:c>
      <x:c r="D379" s="34" t="n">
        <x:v>110</x:v>
      </x:c>
      <x:c r="E379" s="34" t="str">
        <x:v>vitinraba</x:v>
      </x:c>
      <x:c r="F379" s="34" t="n">
        <x:v>12050</x:v>
      </x:c>
      <x:c r="G379" s="35" t="n">
        <x:f>IF(C379=0,0,F379/C379*B379)</x:f>
        <x:v>4.2637299180090045</x:v>
      </x:c>
    </x:row>
    <x:row r="380">
      <x:c r="A380" s="33" t="str">
        <x:v>PvE Black</x:v>
      </x:c>
      <x:c r="B380" s="34" t="n">
        <x:v>11000</x:v>
      </x:c>
      <x:c r="C380" s="34" t="n">
        <x:v>31087804</x:v>
      </x:c>
      <x:c r="D380" s="34" t="n">
        <x:v>111</x:v>
      </x:c>
      <x:c r="E380" s="34" t="str">
        <x:v>1NightReaperLWY</x:v>
      </x:c>
      <x:c r="F380" s="34" t="n">
        <x:v>11620</x:v>
      </x:c>
      <x:c r="G380" s="35" t="n">
        <x:f>IF(C380=0,0,F380/C380*B380)</x:f>
        <x:v>4.111580219690011</x:v>
      </x:c>
    </x:row>
    <x:row r="381">
      <x:c r="A381" s="33" t="str">
        <x:v>PvE Black</x:v>
      </x:c>
      <x:c r="B381" s="34" t="n">
        <x:v>11000</x:v>
      </x:c>
      <x:c r="C381" s="34" t="n">
        <x:v>31087804</x:v>
      </x:c>
      <x:c r="D381" s="34" t="n">
        <x:v>112</x:v>
      </x:c>
      <x:c r="E381" s="34" t="str">
        <x:v>TensaiPT</x:v>
      </x:c>
      <x:c r="F381" s="34" t="n">
        <x:v>11388</x:v>
      </x:c>
      <x:c r="G381" s="35" t="n">
        <x:f>IF(C381=0,0,F381/C381*B381)</x:f>
        <x:v>4.029490149899298</x:v>
      </x:c>
    </x:row>
    <x:row r="382">
      <x:c r="A382" s="33" t="str">
        <x:v>PvE Black</x:v>
      </x:c>
      <x:c r="B382" s="34" t="n">
        <x:v>11000</x:v>
      </x:c>
      <x:c r="C382" s="34" t="n">
        <x:v>31087804</x:v>
      </x:c>
      <x:c r="D382" s="34" t="n">
        <x:v>113</x:v>
      </x:c>
      <x:c r="E382" s="34" t="str">
        <x:v>DpOZPIO</x:v>
      </x:c>
      <x:c r="F382" s="34" t="n">
        <x:v>11367</x:v>
      </x:c>
      <x:c r="G382" s="35" t="n">
        <x:f>IF(C382=0,0,F382/C382*B382)</x:f>
        <x:v>4.0220595832372075</x:v>
      </x:c>
    </x:row>
    <x:row r="383">
      <x:c r="A383" s="33" t="str">
        <x:v>PvE Black</x:v>
      </x:c>
      <x:c r="B383" s="34" t="n">
        <x:v>11000</x:v>
      </x:c>
      <x:c r="C383" s="34" t="n">
        <x:v>31087804</x:v>
      </x:c>
      <x:c r="D383" s="34" t="n">
        <x:v>114</x:v>
      </x:c>
      <x:c r="E383" s="34" t="str">
        <x:v>EBMonarca</x:v>
      </x:c>
      <x:c r="F383" s="34" t="n">
        <x:v>11363</x:v>
      </x:c>
      <x:c r="G383" s="35" t="n">
        <x:f>IF(C383=0,0,F383/C383*B383)</x:f>
        <x:v>4.020644237206334</x:v>
      </x:c>
    </x:row>
    <x:row r="384">
      <x:c r="A384" s="33" t="str">
        <x:v>PvE Black</x:v>
      </x:c>
      <x:c r="B384" s="34" t="n">
        <x:v>11000</x:v>
      </x:c>
      <x:c r="C384" s="34" t="n">
        <x:v>31087804</x:v>
      </x:c>
      <x:c r="D384" s="34" t="n">
        <x:v>115</x:v>
      </x:c>
      <x:c r="E384" s="34" t="str">
        <x:v>AnjoThall</x:v>
      </x:c>
      <x:c r="F384" s="34" t="n">
        <x:v>11072</x:v>
      </x:c>
      <x:c r="G384" s="35" t="n">
        <x:f>IF(C384=0,0,F384/C384*B384)</x:f>
        <x:v>3.9176778134602235</x:v>
      </x:c>
    </x:row>
    <x:row r="385">
      <x:c r="A385" s="33" t="str">
        <x:v>PvE Black</x:v>
      </x:c>
      <x:c r="B385" s="34" t="n">
        <x:v>11000</x:v>
      </x:c>
      <x:c r="C385" s="34" t="n">
        <x:v>31087804</x:v>
      </x:c>
      <x:c r="D385" s="34" t="n">
        <x:v>116</x:v>
      </x:c>
      <x:c r="E385" s="34" t="str">
        <x:v>elcondopassa</x:v>
      </x:c>
      <x:c r="F385" s="34" t="n">
        <x:v>8293</x:v>
      </x:c>
      <x:c r="G385" s="35" t="n">
        <x:f>IF(C385=0,0,F385/C385*B385)</x:f>
        <x:v>2.9343661585102634</x:v>
      </x:c>
    </x:row>
    <x:row r="386">
      <x:c r="A386" s="33" t="str">
        <x:v>PvE Black</x:v>
      </x:c>
      <x:c r="B386" s="34" t="n">
        <x:v>11000</x:v>
      </x:c>
      <x:c r="C386" s="34" t="n">
        <x:v>31087804</x:v>
      </x:c>
      <x:c r="D386" s="34" t="n">
        <x:v>117</x:v>
      </x:c>
      <x:c r="E386" s="34" t="str">
        <x:v>B2r</x:v>
      </x:c>
      <x:c r="F386" s="34" t="n">
        <x:v>8105</x:v>
      </x:c>
      <x:c r="G386" s="35" t="n">
        <x:f>IF(C386=0,0,F386/C386*B386)</x:f>
        <x:v>2.8678448950591684</x:v>
      </x:c>
    </x:row>
    <x:row r="387">
      <x:c r="A387" s="33" t="str">
        <x:v>PvE Black</x:v>
      </x:c>
      <x:c r="B387" s="34" t="n">
        <x:v>11000</x:v>
      </x:c>
      <x:c r="C387" s="34" t="n">
        <x:v>31087804</x:v>
      </x:c>
      <x:c r="D387" s="34" t="n">
        <x:v>118</x:v>
      </x:c>
      <x:c r="E387" s="34" t="str">
        <x:v>Telesss</x:v>
      </x:c>
      <x:c r="F387" s="34" t="n">
        <x:v>7843</x:v>
      </x:c>
      <x:c r="G387" s="35" t="n">
        <x:f>IF(C387=0,0,F387/C387*B387)</x:f>
        <x:v>2.775139730036898</x:v>
      </x:c>
    </x:row>
    <x:row r="388">
      <x:c r="A388" s="33" t="str">
        <x:v>PvE Black</x:v>
      </x:c>
      <x:c r="B388" s="34" t="n">
        <x:v>11000</x:v>
      </x:c>
      <x:c r="C388" s="34" t="n">
        <x:v>31087804</x:v>
      </x:c>
      <x:c r="D388" s="34" t="n">
        <x:v>119</x:v>
      </x:c>
      <x:c r="E388" s="34" t="str">
        <x:v>JackTrip21</x:v>
      </x:c>
      <x:c r="F388" s="34" t="n">
        <x:v>7693</x:v>
      </x:c>
      <x:c r="G388" s="35" t="n">
        <x:f>IF(C388=0,0,F388/C388*B388)</x:f>
        <x:v>2.7220642538791098</x:v>
      </x:c>
    </x:row>
    <x:row r="389">
      <x:c r="A389" s="33" t="str">
        <x:v>PvE Black</x:v>
      </x:c>
      <x:c r="B389" s="34" t="n">
        <x:v>11000</x:v>
      </x:c>
      <x:c r="C389" s="34" t="n">
        <x:v>31087804</x:v>
      </x:c>
      <x:c r="D389" s="34" t="n">
        <x:v>120</x:v>
      </x:c>
      <x:c r="E389" s="34" t="str">
        <x:v>CunaPrata</x:v>
      </x:c>
      <x:c r="F389" s="34" t="n">
        <x:v>7640</x:v>
      </x:c>
      <x:c r="G389" s="35" t="n">
        <x:f>IF(C389=0,0,F389/C389*B389)</x:f>
        <x:v>2.7033109189700246</x:v>
      </x:c>
    </x:row>
    <x:row r="390">
      <x:c r="A390" s="33" t="str">
        <x:v>PvE Black</x:v>
      </x:c>
      <x:c r="B390" s="34" t="n">
        <x:v>11000</x:v>
      </x:c>
      <x:c r="C390" s="34" t="n">
        <x:v>31087804</x:v>
      </x:c>
      <x:c r="D390" s="34" t="n">
        <x:v>121</x:v>
      </x:c>
      <x:c r="E390" s="34" t="str">
        <x:v>NamikazePT</x:v>
      </x:c>
      <x:c r="F390" s="34" t="n">
        <x:v>7587</x:v>
      </x:c>
      <x:c r="G390" s="35" t="n">
        <x:f>IF(C390=0,0,F390/C390*B390)</x:f>
        <x:v>2.684557584060939</x:v>
      </x:c>
    </x:row>
    <x:row r="391">
      <x:c r="A391" s="33" t="str">
        <x:v>PvE Black</x:v>
      </x:c>
      <x:c r="B391" s="34" t="n">
        <x:v>11000</x:v>
      </x:c>
      <x:c r="C391" s="34" t="n">
        <x:v>31087804</x:v>
      </x:c>
      <x:c r="D391" s="34" t="n">
        <x:v>122</x:v>
      </x:c>
      <x:c r="E391" s="34" t="str">
        <x:v>1SkylifhtLWY</x:v>
      </x:c>
      <x:c r="F391" s="34" t="n">
        <x:v>7225</x:v>
      </x:c>
      <x:c r="G391" s="35" t="n">
        <x:f>IF(C391=0,0,F391/C391*B391)</x:f>
        <x:v>2.55646876826681</x:v>
      </x:c>
    </x:row>
    <x:row r="392">
      <x:c r="A392" s="33" t="str">
        <x:v>PvE Black</x:v>
      </x:c>
      <x:c r="B392" s="34" t="n">
        <x:v>11000</x:v>
      </x:c>
      <x:c r="C392" s="34" t="n">
        <x:v>31087804</x:v>
      </x:c>
      <x:c r="D392" s="34" t="n">
        <x:v>123</x:v>
      </x:c>
      <x:c r="E392" s="34" t="str">
        <x:v>Kytario</x:v>
      </x:c>
      <x:c r="F392" s="34" t="n">
        <x:v>7120</x:v>
      </x:c>
      <x:c r="G392" s="35" t="n">
        <x:f>IF(C392=0,0,F392/C392*B392)</x:f>
        <x:v>2.519315934956358</x:v>
      </x:c>
    </x:row>
    <x:row r="393">
      <x:c r="A393" s="33" t="str">
        <x:v>PvE Black</x:v>
      </x:c>
      <x:c r="B393" s="34" t="n">
        <x:v>11000</x:v>
      </x:c>
      <x:c r="C393" s="34" t="n">
        <x:v>31087804</x:v>
      </x:c>
      <x:c r="D393" s="34" t="n">
        <x:v>124</x:v>
      </x:c>
      <x:c r="E393" s="34" t="str">
        <x:v>ZURGUING</x:v>
      </x:c>
      <x:c r="F393" s="34" t="n">
        <x:v>7050</x:v>
      </x:c>
      <x:c r="G393" s="35" t="n">
        <x:f>IF(C393=0,0,F393/C393*B393)</x:f>
        <x:v>2.4945473794160566</x:v>
      </x:c>
    </x:row>
    <x:row r="394">
      <x:c r="A394" s="33" t="str">
        <x:v>PvE Black</x:v>
      </x:c>
      <x:c r="B394" s="34" t="n">
        <x:v>11000</x:v>
      </x:c>
      <x:c r="C394" s="34" t="n">
        <x:v>31087804</x:v>
      </x:c>
      <x:c r="D394" s="34" t="n">
        <x:v>125</x:v>
      </x:c>
      <x:c r="E394" s="34" t="str">
        <x:v>BobBob</x:v>
      </x:c>
      <x:c r="F394" s="34" t="n">
        <x:v>6884</x:v>
      </x:c>
      <x:c r="G394" s="35" t="n">
        <x:f>IF(C394=0,0,F394/C394*B394)</x:f>
        <x:v>2.4358105191347708</x:v>
      </x:c>
    </x:row>
    <x:row r="395">
      <x:c r="A395" s="33" t="str">
        <x:v>PvE Black</x:v>
      </x:c>
      <x:c r="B395" s="34" t="n">
        <x:v>11000</x:v>
      </x:c>
      <x:c r="C395" s="34" t="n">
        <x:v>31087804</x:v>
      </x:c>
      <x:c r="D395" s="34" t="n">
        <x:v>126</x:v>
      </x:c>
      <x:c r="E395" s="34" t="str">
        <x:v>Ruizao</x:v>
      </x:c>
      <x:c r="F395" s="34" t="n">
        <x:v>6549</x:v>
      </x:c>
      <x:c r="G395" s="35" t="n">
        <x:f>IF(C395=0,0,F395/C395*B395)</x:f>
        <x:v>2.317275289049043</x:v>
      </x:c>
    </x:row>
    <x:row r="396">
      <x:c r="A396" s="33" t="str">
        <x:v>PvE Black</x:v>
      </x:c>
      <x:c r="B396" s="34" t="n">
        <x:v>11000</x:v>
      </x:c>
      <x:c r="C396" s="34" t="n">
        <x:v>31087804</x:v>
      </x:c>
      <x:c r="D396" s="34" t="n">
        <x:v>127</x:v>
      </x:c>
      <x:c r="E396" s="34" t="str">
        <x:v>NevesXC</x:v>
      </x:c>
      <x:c r="F396" s="34" t="n">
        <x:v>6429</x:v>
      </x:c>
      <x:c r="G396" s="35" t="n">
        <x:f>IF(C396=0,0,F396/C396*B396)</x:f>
        <x:v>2.2748149081228126</x:v>
      </x:c>
    </x:row>
    <x:row r="397">
      <x:c r="A397" s="33" t="str">
        <x:v>PvE Black</x:v>
      </x:c>
      <x:c r="B397" s="34" t="n">
        <x:v>11000</x:v>
      </x:c>
      <x:c r="C397" s="34" t="n">
        <x:v>31087804</x:v>
      </x:c>
      <x:c r="D397" s="34" t="n">
        <x:v>128</x:v>
      </x:c>
      <x:c r="E397" s="34" t="str">
        <x:v>zBrunooHD</x:v>
      </x:c>
      <x:c r="F397" s="34" t="n">
        <x:v>6397</x:v>
      </x:c>
      <x:c r="G397" s="35" t="n">
        <x:f>IF(C397=0,0,F397/C397*B397)</x:f>
        <x:v>2.2634921398758174</x:v>
      </x:c>
    </x:row>
    <x:row r="398">
      <x:c r="A398" s="33" t="str">
        <x:v>PvE Black</x:v>
      </x:c>
      <x:c r="B398" s="34" t="n">
        <x:v>11000</x:v>
      </x:c>
      <x:c r="C398" s="34" t="n">
        <x:v>31087804</x:v>
      </x:c>
      <x:c r="D398" s="34" t="n">
        <x:v>129</x:v>
      </x:c>
      <x:c r="E398" s="34" t="str">
        <x:v>xotinhadecoco</x:v>
      </x:c>
      <x:c r="F398" s="34" t="n">
        <x:v>6212</x:v>
      </x:c>
      <x:c r="G398" s="35" t="n">
        <x:f>IF(C398=0,0,F398/C398*B398)</x:f>
        <x:v>2.1980323859478785</x:v>
      </x:c>
    </x:row>
    <x:row r="399">
      <x:c r="A399" s="33" t="str">
        <x:v>PvE Black</x:v>
      </x:c>
      <x:c r="B399" s="34" t="n">
        <x:v>11000</x:v>
      </x:c>
      <x:c r="C399" s="34" t="n">
        <x:v>31087804</x:v>
      </x:c>
      <x:c r="D399" s="34" t="n">
        <x:v>130</x:v>
      </x:c>
      <x:c r="E399" s="34" t="str">
        <x:v>Kuntakint</x:v>
      </x:c>
      <x:c r="F399" s="34" t="n">
        <x:v>5835</x:v>
      </x:c>
      <x:c r="G399" s="35" t="n">
        <x:f>IF(C399=0,0,F399/C399*B399)</x:f>
        <x:v>2.0646360225379703</x:v>
      </x:c>
    </x:row>
    <x:row r="400">
      <x:c r="A400" s="33" t="str">
        <x:v>PvE Black</x:v>
      </x:c>
      <x:c r="B400" s="34" t="n">
        <x:v>11000</x:v>
      </x:c>
      <x:c r="C400" s="34" t="n">
        <x:v>31087804</x:v>
      </x:c>
      <x:c r="D400" s="34" t="n">
        <x:v>131</x:v>
      </x:c>
      <x:c r="E400" s="34" t="str">
        <x:v>BigKaHuNa</x:v>
      </x:c>
      <x:c r="F400" s="34" t="n">
        <x:v>5817</x:v>
      </x:c>
      <x:c r="G400" s="35" t="n">
        <x:f>IF(C400=0,0,F400/C400*B400)</x:f>
        <x:v>2.0582669653990355</x:v>
      </x:c>
    </x:row>
    <x:row r="401">
      <x:c r="A401" s="33" t="str">
        <x:v>PvE Black</x:v>
      </x:c>
      <x:c r="B401" s="34" t="n">
        <x:v>11000</x:v>
      </x:c>
      <x:c r="C401" s="34" t="n">
        <x:v>31087804</x:v>
      </x:c>
      <x:c r="D401" s="34" t="n">
        <x:v>132</x:v>
      </x:c>
      <x:c r="E401" s="34" t="str">
        <x:v>TheBad</x:v>
      </x:c>
      <x:c r="F401" s="34" t="n">
        <x:v>5607</x:v>
      </x:c>
      <x:c r="G401" s="35" t="n">
        <x:f>IF(C401=0,0,F401/C401*B401)</x:f>
        <x:v>1.9839612987781319</x:v>
      </x:c>
    </x:row>
    <x:row r="402">
      <x:c r="A402" s="33" t="str">
        <x:v>PvE Black</x:v>
      </x:c>
      <x:c r="B402" s="34" t="n">
        <x:v>11000</x:v>
      </x:c>
      <x:c r="C402" s="34" t="n">
        <x:v>31087804</x:v>
      </x:c>
      <x:c r="D402" s="34" t="n">
        <x:v>133</x:v>
      </x:c>
      <x:c r="E402" s="34" t="str">
        <x:v>Madruguinha</x:v>
      </x:c>
      <x:c r="F402" s="34" t="n">
        <x:v>5540</x:v>
      </x:c>
      <x:c r="G402" s="35" t="n">
        <x:f>IF(C402=0,0,F402/C402*B402)</x:f>
        <x:v>1.9602542527609863</x:v>
      </x:c>
    </x:row>
    <x:row r="403">
      <x:c r="A403" s="33" t="str">
        <x:v>PvE Black</x:v>
      </x:c>
      <x:c r="B403" s="34" t="n">
        <x:v>11000</x:v>
      </x:c>
      <x:c r="C403" s="34" t="n">
        <x:v>31087804</x:v>
      </x:c>
      <x:c r="D403" s="34" t="n">
        <x:v>134</x:v>
      </x:c>
      <x:c r="E403" s="34" t="str">
        <x:v>OWERLORI123</x:v>
      </x:c>
      <x:c r="F403" s="34" t="n">
        <x:v>5249</x:v>
      </x:c>
      <x:c r="G403" s="35" t="n">
        <x:f>IF(C403=0,0,F403/C403*B403)</x:f>
        <x:v>1.8572878290148769</x:v>
      </x:c>
    </x:row>
    <x:row r="404">
      <x:c r="A404" s="33" t="str">
        <x:v>PvE Black</x:v>
      </x:c>
      <x:c r="B404" s="34" t="n">
        <x:v>11000</x:v>
      </x:c>
      <x:c r="C404" s="34" t="n">
        <x:v>31087804</x:v>
      </x:c>
      <x:c r="D404" s="34" t="n">
        <x:v>135</x:v>
      </x:c>
      <x:c r="E404" s="34" t="str">
        <x:v>WillHue</x:v>
      </x:c>
      <x:c r="F404" s="34" t="n">
        <x:v>5085</x:v>
      </x:c>
      <x:c r="G404" s="35" t="n">
        <x:f>IF(C404=0,0,F404/C404*B404)</x:f>
        <x:v>1.799258641749028</x:v>
      </x:c>
    </x:row>
    <x:row r="405">
      <x:c r="A405" s="33" t="str">
        <x:v>PvE Black</x:v>
      </x:c>
      <x:c r="B405" s="34" t="n">
        <x:v>11000</x:v>
      </x:c>
      <x:c r="C405" s="34" t="n">
        <x:v>31087804</x:v>
      </x:c>
      <x:c r="D405" s="34" t="n">
        <x:v>136</x:v>
      </x:c>
      <x:c r="E405" s="34" t="str">
        <x:v>executador</x:v>
      </x:c>
      <x:c r="F405" s="34" t="n">
        <x:v>4925</x:v>
      </x:c>
      <x:c r="G405" s="35" t="n">
        <x:f>IF(C405=0,0,F405/C405*B405)</x:f>
        <x:v>1.7426448005140538</x:v>
      </x:c>
    </x:row>
    <x:row r="406">
      <x:c r="A406" s="33" t="str">
        <x:v>PvE Black</x:v>
      </x:c>
      <x:c r="B406" s="34" t="n">
        <x:v>11000</x:v>
      </x:c>
      <x:c r="C406" s="34" t="n">
        <x:v>31087804</x:v>
      </x:c>
      <x:c r="D406" s="34" t="n">
        <x:v>137</x:v>
      </x:c>
      <x:c r="E406" s="34" t="str">
        <x:v>RUILEI</x:v>
      </x:c>
      <x:c r="F406" s="34" t="n">
        <x:v>4730</x:v>
      </x:c>
      <x:c r="G406" s="35" t="n">
        <x:f>IF(C406=0,0,F406/C406*B406)</x:f>
        <x:v>1.6736466815089288</x:v>
      </x:c>
    </x:row>
    <x:row r="407">
      <x:c r="A407" s="33" t="str">
        <x:v>PvE Black</x:v>
      </x:c>
      <x:c r="B407" s="34" t="n">
        <x:v>11000</x:v>
      </x:c>
      <x:c r="C407" s="34" t="n">
        <x:v>31087804</x:v>
      </x:c>
      <x:c r="D407" s="34" t="n">
        <x:v>138</x:v>
      </x:c>
      <x:c r="E407" s="34" t="str">
        <x:v>Merus</x:v>
      </x:c>
      <x:c r="F407" s="34" t="n">
        <x:v>4476</x:v>
      </x:c>
      <x:c r="G407" s="35" t="n">
        <x:f>IF(C407=0,0,F407/C407*B407)</x:f>
        <x:v>1.5837722085484072</x:v>
      </x:c>
    </x:row>
    <x:row r="408">
      <x:c r="A408" s="33" t="str">
        <x:v>PvE Black</x:v>
      </x:c>
      <x:c r="B408" s="34" t="n">
        <x:v>11000</x:v>
      </x:c>
      <x:c r="C408" s="34" t="n">
        <x:v>31087804</x:v>
      </x:c>
      <x:c r="D408" s="34" t="n">
        <x:v>139</x:v>
      </x:c>
      <x:c r="E408" s="34" t="str">
        <x:v>JoxPT</x:v>
      </x:c>
      <x:c r="F408" s="34" t="n">
        <x:v>3893</x:v>
      </x:c>
      <x:c r="G408" s="35" t="n">
        <x:f>IF(C408=0,0,F408/C408*B408)</x:f>
        <x:v>1.3774855245484692</x:v>
      </x:c>
    </x:row>
    <x:row r="409">
      <x:c r="A409" s="33" t="str">
        <x:v>PvE Black</x:v>
      </x:c>
      <x:c r="B409" s="34" t="n">
        <x:v>11000</x:v>
      </x:c>
      <x:c r="C409" s="34" t="n">
        <x:v>31087804</x:v>
      </x:c>
      <x:c r="D409" s="34" t="n">
        <x:v>140</x:v>
      </x:c>
      <x:c r="E409" s="34" t="str">
        <x:v>Xakalzin</x:v>
      </x:c>
      <x:c r="F409" s="34" t="n">
        <x:v>3752</x:v>
      </x:c>
      <x:c r="G409" s="35" t="n">
        <x:f>IF(C409=0,0,F409/C409*B409)</x:f>
        <x:v>1.327594576960148</x:v>
      </x:c>
    </x:row>
    <x:row r="410">
      <x:c r="A410" s="33" t="str">
        <x:v>PvE Black</x:v>
      </x:c>
      <x:c r="B410" s="34" t="n">
        <x:v>11000</x:v>
      </x:c>
      <x:c r="C410" s="34" t="n">
        <x:v>31087804</x:v>
      </x:c>
      <x:c r="D410" s="34" t="n">
        <x:v>141</x:v>
      </x:c>
      <x:c r="E410" s="34" t="str">
        <x:v>Vr4L</x:v>
      </x:c>
      <x:c r="F410" s="34" t="n">
        <x:v>3685</x:v>
      </x:c>
      <x:c r="G410" s="35" t="n">
        <x:f>IF(C410=0,0,F410/C410*B410)</x:f>
        <x:v>1.3038875309430025</x:v>
      </x:c>
    </x:row>
    <x:row r="411">
      <x:c r="A411" s="33" t="str">
        <x:v>PvE Black</x:v>
      </x:c>
      <x:c r="B411" s="34" t="n">
        <x:v>11000</x:v>
      </x:c>
      <x:c r="C411" s="34" t="n">
        <x:v>31087804</x:v>
      </x:c>
      <x:c r="D411" s="34" t="n">
        <x:v>142</x:v>
      </x:c>
      <x:c r="E411" s="34" t="str">
        <x:v>diovolo</x:v>
      </x:c>
      <x:c r="F411" s="34" t="n">
        <x:v>3504</x:v>
      </x:c>
      <x:c r="G411" s="35" t="n">
        <x:f>IF(C411=0,0,F411/C411*B411)</x:f>
        <x:v>1.239843123045938</x:v>
      </x:c>
    </x:row>
    <x:row r="412">
      <x:c r="A412" s="33" t="str">
        <x:v>PvE Black</x:v>
      </x:c>
      <x:c r="B412" s="34" t="n">
        <x:v>11000</x:v>
      </x:c>
      <x:c r="C412" s="34" t="n">
        <x:v>31087804</x:v>
      </x:c>
      <x:c r="D412" s="34" t="n">
        <x:v>143</x:v>
      </x:c>
      <x:c r="E412" s="34" t="str">
        <x:v>Sonjigolo</x:v>
      </x:c>
      <x:c r="F412" s="34" t="n">
        <x:v>3389</x:v>
      </x:c>
      <x:c r="G412" s="35" t="n">
        <x:f>IF(C412=0,0,F412/C412*B412)</x:f>
        <x:v>1.1991519246583</x:v>
      </x:c>
    </x:row>
    <x:row r="413">
      <x:c r="A413" s="33" t="str">
        <x:v>PvE Black</x:v>
      </x:c>
      <x:c r="B413" s="34" t="n">
        <x:v>11000</x:v>
      </x:c>
      <x:c r="C413" s="34" t="n">
        <x:v>31087804</x:v>
      </x:c>
      <x:c r="D413" s="34" t="n">
        <x:v>144</x:v>
      </x:c>
      <x:c r="E413" s="34" t="str">
        <x:v>FullTime</x:v>
      </x:c>
      <x:c r="F413" s="34" t="n">
        <x:v>3200</x:v>
      </x:c>
      <x:c r="G413" s="35" t="n">
        <x:f>IF(C413=0,0,F413/C413*B413)</x:f>
        <x:v>1.1322768246994865</x:v>
      </x:c>
    </x:row>
    <x:row r="414">
      <x:c r="A414" s="33" t="str">
        <x:v>PvE Black</x:v>
      </x:c>
      <x:c r="B414" s="34" t="n">
        <x:v>11000</x:v>
      </x:c>
      <x:c r="C414" s="34" t="n">
        <x:v>31087804</x:v>
      </x:c>
      <x:c r="D414" s="34" t="n">
        <x:v>145</x:v>
      </x:c>
      <x:c r="E414" s="34" t="str">
        <x:v>Porquitchona</x:v>
      </x:c>
      <x:c r="F414" s="34" t="n">
        <x:v>3161</x:v>
      </x:c>
      <x:c r="G414" s="35" t="n">
        <x:f>IF(C414=0,0,F414/C414*B414)</x:f>
        <x:v>1.1184772008984618</x:v>
      </x:c>
    </x:row>
    <x:row r="415">
      <x:c r="A415" s="33" t="str">
        <x:v>PvE Black</x:v>
      </x:c>
      <x:c r="B415" s="34" t="n">
        <x:v>11000</x:v>
      </x:c>
      <x:c r="C415" s="34" t="n">
        <x:v>31087804</x:v>
      </x:c>
      <x:c r="D415" s="34" t="n">
        <x:v>146</x:v>
      </x:c>
      <x:c r="E415" s="34" t="str">
        <x:v>leonekilua</x:v>
      </x:c>
      <x:c r="F415" s="34" t="n">
        <x:v>3100</x:v>
      </x:c>
      <x:c r="G415" s="35" t="n">
        <x:f>IF(C415=0,0,F415/C415*B415)</x:f>
        <x:v>1.0968931739276278</x:v>
      </x:c>
    </x:row>
    <x:row r="416">
      <x:c r="A416" s="33" t="str">
        <x:v>PvE Black</x:v>
      </x:c>
      <x:c r="B416" s="34" t="n">
        <x:v>11000</x:v>
      </x:c>
      <x:c r="C416" s="34" t="n">
        <x:v>31087804</x:v>
      </x:c>
      <x:c r="D416" s="34" t="n">
        <x:v>147</x:v>
      </x:c>
      <x:c r="E416" s="34" t="str">
        <x:v>RodriRowanShade</x:v>
      </x:c>
      <x:c r="F416" s="34" t="n">
        <x:v>3098</x:v>
      </x:c>
      <x:c r="G416" s="35" t="n">
        <x:f>IF(C416=0,0,F416/C416*B416)</x:f>
        <x:v>1.0961855009121906</x:v>
      </x:c>
    </x:row>
    <x:row r="417">
      <x:c r="A417" s="33" t="str">
        <x:v>PvE Black</x:v>
      </x:c>
      <x:c r="B417" s="34" t="n">
        <x:v>11000</x:v>
      </x:c>
      <x:c r="C417" s="34" t="n">
        <x:v>31087804</x:v>
      </x:c>
      <x:c r="D417" s="34" t="n">
        <x:v>148</x:v>
      </x:c>
      <x:c r="E417" s="34" t="str">
        <x:v>jamaiquinha</x:v>
      </x:c>
      <x:c r="F417" s="34" t="n">
        <x:v>3081</x:v>
      </x:c>
      <x:c r="G417" s="35" t="n">
        <x:f>IF(C417=0,0,F417/C417*B417)</x:f>
        <x:v>1.0901702802809745</x:v>
      </x:c>
    </x:row>
    <x:row r="418">
      <x:c r="A418" s="33" t="str">
        <x:v>PvE Black</x:v>
      </x:c>
      <x:c r="B418" s="34" t="n">
        <x:v>11000</x:v>
      </x:c>
      <x:c r="C418" s="34" t="n">
        <x:v>31087804</x:v>
      </x:c>
      <x:c r="D418" s="34" t="n">
        <x:v>149</x:v>
      </x:c>
      <x:c r="E418" s="34" t="str">
        <x:v>jotarokunBR78</x:v>
      </x:c>
      <x:c r="F418" s="34" t="n">
        <x:v>3008</x:v>
      </x:c>
      <x:c r="G418" s="35" t="n">
        <x:f>IF(C418=0,0,F418/C418*B418)</x:f>
        <x:v>1.0643402152175174</x:v>
      </x:c>
    </x:row>
    <x:row r="419">
      <x:c r="A419" s="33" t="str">
        <x:v>PvE Black</x:v>
      </x:c>
      <x:c r="B419" s="34" t="n">
        <x:v>11000</x:v>
      </x:c>
      <x:c r="C419" s="34" t="n">
        <x:v>31087804</x:v>
      </x:c>
      <x:c r="D419" s="34" t="n">
        <x:v>150</x:v>
      </x:c>
      <x:c r="E419" s="34" t="str">
        <x:v>DanyV2</x:v>
      </x:c>
      <x:c r="F419" s="34" t="n">
        <x:v>2954</x:v>
      </x:c>
      <x:c r="G419" s="35" t="n">
        <x:f>IF(C419=0,0,F419/C419*B419)</x:f>
        <x:v>1.0452330438007136</x:v>
      </x:c>
    </x:row>
    <x:row r="420">
      <x:c r="A420" s="33" t="str">
        <x:v>PvE Black</x:v>
      </x:c>
      <x:c r="B420" s="34" t="n">
        <x:v>11000</x:v>
      </x:c>
      <x:c r="C420" s="34" t="n">
        <x:v>31087804</x:v>
      </x:c>
      <x:c r="D420" s="34" t="n">
        <x:v>151</x:v>
      </x:c>
      <x:c r="E420" s="34" t="str">
        <x:v>nito19</x:v>
      </x:c>
      <x:c r="F420" s="34" t="n">
        <x:v>2931</x:v>
      </x:c>
      <x:c r="G420" s="35" t="n">
        <x:f>IF(C420=0,0,F420/C420*B420)</x:f>
        <x:v>1.037094804123186</x:v>
      </x:c>
    </x:row>
    <x:row r="421">
      <x:c r="A421" s="33" t="str">
        <x:v>PvE Black</x:v>
      </x:c>
      <x:c r="B421" s="34" t="n">
        <x:v>11000</x:v>
      </x:c>
      <x:c r="C421" s="34" t="n">
        <x:v>31087804</x:v>
      </x:c>
      <x:c r="D421" s="34" t="n">
        <x:v>152</x:v>
      </x:c>
      <x:c r="E421" s="34" t="str">
        <x:v>tfmPuniSHEr</x:v>
      </x:c>
      <x:c r="F421" s="34" t="n">
        <x:v>2878</x:v>
      </x:c>
      <x:c r="G421" s="35" t="n">
        <x:f>IF(C421=0,0,F421/C421*B421)</x:f>
        <x:v>1.0183414692141008</x:v>
      </x:c>
    </x:row>
    <x:row r="422">
      <x:c r="A422" s="33" t="str">
        <x:v>PvE Black</x:v>
      </x:c>
      <x:c r="B422" s="34" t="n">
        <x:v>11000</x:v>
      </x:c>
      <x:c r="C422" s="34" t="n">
        <x:v>31087804</x:v>
      </x:c>
      <x:c r="D422" s="34" t="n">
        <x:v>153</x:v>
      </x:c>
      <x:c r="E422" s="34" t="str">
        <x:v>BrunoAnulino</x:v>
      </x:c>
      <x:c r="F422" s="34" t="n">
        <x:v>2823</x:v>
      </x:c>
      <x:c r="G422" s="35" t="n">
        <x:f>IF(C422=0,0,F422/C422*B422)</x:f>
        <x:v>0.9988804612895784</x:v>
      </x:c>
    </x:row>
    <x:row r="423">
      <x:c r="A423" s="33" t="str">
        <x:v>PvE Black</x:v>
      </x:c>
      <x:c r="B423" s="34" t="n">
        <x:v>11000</x:v>
      </x:c>
      <x:c r="C423" s="34" t="n">
        <x:v>31087804</x:v>
      </x:c>
      <x:c r="D423" s="34" t="n">
        <x:v>154</x:v>
      </x:c>
      <x:c r="E423" s="34" t="str">
        <x:v>MaCiRoSKi</x:v>
      </x:c>
      <x:c r="F423" s="34" t="n">
        <x:v>2821</x:v>
      </x:c>
      <x:c r="G423" s="35" t="n">
        <x:f>IF(C423=0,0,F423/C423*B423)</x:f>
        <x:v>0.9981727882741412</x:v>
      </x:c>
    </x:row>
    <x:row r="424">
      <x:c r="A424" s="33" t="str">
        <x:v>PvE Black</x:v>
      </x:c>
      <x:c r="B424" s="34" t="n">
        <x:v>11000</x:v>
      </x:c>
      <x:c r="C424" s="34" t="n">
        <x:v>31087804</x:v>
      </x:c>
      <x:c r="D424" s="34" t="n">
        <x:v>155</x:v>
      </x:c>
      <x:c r="E424" s="34" t="str">
        <x:v>dudugamexd43</x:v>
      </x:c>
      <x:c r="F424" s="34" t="n">
        <x:v>2546</x:v>
      </x:c>
      <x:c r="G424" s="35" t="n">
        <x:f>IF(C424=0,0,F424/C424*B424)</x:f>
        <x:v>0.9008677486515291</x:v>
      </x:c>
    </x:row>
    <x:row r="425">
      <x:c r="A425" s="33" t="str">
        <x:v>PvE Black</x:v>
      </x:c>
      <x:c r="B425" s="34" t="n">
        <x:v>11000</x:v>
      </x:c>
      <x:c r="C425" s="34" t="n">
        <x:v>31087804</x:v>
      </x:c>
      <x:c r="D425" s="34" t="n">
        <x:v>156</x:v>
      </x:c>
      <x:c r="E425" s="34" t="str">
        <x:v>IIIIIIIIIII</x:v>
      </x:c>
      <x:c r="F425" s="34" t="n">
        <x:v>2437</x:v>
      </x:c>
      <x:c r="G425" s="35" t="n">
        <x:f>IF(C425=0,0,F425/C425*B425)</x:f>
        <x:v>0.8622995693102028</x:v>
      </x:c>
    </x:row>
    <x:row r="426">
      <x:c r="A426" s="33" t="str">
        <x:v>PvE Black</x:v>
      </x:c>
      <x:c r="B426" s="34" t="n">
        <x:v>11000</x:v>
      </x:c>
      <x:c r="C426" s="34" t="n">
        <x:v>31087804</x:v>
      </x:c>
      <x:c r="D426" s="34" t="n">
        <x:v>157</x:v>
      </x:c>
      <x:c r="E426" s="34" t="str">
        <x:v>Aradzin</x:v>
      </x:c>
      <x:c r="F426" s="34" t="n">
        <x:v>2333</x:v>
      </x:c>
      <x:c r="G426" s="35" t="n">
        <x:f>IF(C426=0,0,F426/C426*B426)</x:f>
        <x:v>0.8255005725074694</x:v>
      </x:c>
    </x:row>
    <x:row r="427">
      <x:c r="A427" s="33" t="str">
        <x:v>PvE Black</x:v>
      </x:c>
      <x:c r="B427" s="34" t="n">
        <x:v>11000</x:v>
      </x:c>
      <x:c r="C427" s="34" t="n">
        <x:v>31087804</x:v>
      </x:c>
      <x:c r="D427" s="34" t="n">
        <x:v>158</x:v>
      </x:c>
      <x:c r="E427" s="34" t="str">
        <x:v>JowManojow</x:v>
      </x:c>
      <x:c r="F427" s="34" t="n">
        <x:v>2178</x:v>
      </x:c>
      <x:c r="G427" s="35" t="n">
        <x:f>IF(C427=0,0,F427/C427*B427)</x:f>
        <x:v>0.7706559138110881</x:v>
      </x:c>
    </x:row>
    <x:row r="428">
      <x:c r="A428" s="33" t="str">
        <x:v>PvE Black</x:v>
      </x:c>
      <x:c r="B428" s="34" t="n">
        <x:v>11000</x:v>
      </x:c>
      <x:c r="C428" s="34" t="n">
        <x:v>31087804</x:v>
      </x:c>
      <x:c r="D428" s="34" t="n">
        <x:v>159</x:v>
      </x:c>
      <x:c r="E428" s="34" t="str">
        <x:v>GlitterGold</x:v>
      </x:c>
      <x:c r="F428" s="34" t="n">
        <x:v>2128</x:v>
      </x:c>
      <x:c r="G428" s="35" t="n">
        <x:f>IF(C428=0,0,F428/C428*B428)</x:f>
        <x:v>0.7529640884251587</x:v>
      </x:c>
    </x:row>
    <x:row r="429">
      <x:c r="A429" s="33" t="str">
        <x:v>PvE Black</x:v>
      </x:c>
      <x:c r="B429" s="34" t="n">
        <x:v>11000</x:v>
      </x:c>
      <x:c r="C429" s="34" t="n">
        <x:v>31087804</x:v>
      </x:c>
      <x:c r="D429" s="34" t="n">
        <x:v>160</x:v>
      </x:c>
      <x:c r="E429" s="34" t="str">
        <x:v>Zicadas</x:v>
      </x:c>
      <x:c r="F429" s="34" t="n">
        <x:v>2080</x:v>
      </x:c>
      <x:c r="G429" s="35" t="n">
        <x:f>IF(C429=0,0,F429/C429*B429)</x:f>
        <x:v>0.7359799360546663</x:v>
      </x:c>
    </x:row>
    <x:row r="430">
      <x:c r="A430" s="33" t="str">
        <x:v>PvE Black</x:v>
      </x:c>
      <x:c r="B430" s="34" t="n">
        <x:v>11000</x:v>
      </x:c>
      <x:c r="C430" s="34" t="n">
        <x:v>31087804</x:v>
      </x:c>
      <x:c r="D430" s="34" t="n">
        <x:v>161</x:v>
      </x:c>
      <x:c r="E430" s="34" t="str">
        <x:v>JJWAR</x:v>
      </x:c>
      <x:c r="F430" s="34" t="n">
        <x:v>2071</x:v>
      </x:c>
      <x:c r="G430" s="35" t="n">
        <x:f>IF(C430=0,0,F430/C430*B430)</x:f>
        <x:v>0.7327954074851991</x:v>
      </x:c>
    </x:row>
    <x:row r="431">
      <x:c r="A431" s="33" t="str">
        <x:v>PvE Black</x:v>
      </x:c>
      <x:c r="B431" s="34" t="n">
        <x:v>11000</x:v>
      </x:c>
      <x:c r="C431" s="34" t="n">
        <x:v>31087804</x:v>
      </x:c>
      <x:c r="D431" s="34" t="n">
        <x:v>162</x:v>
      </x:c>
      <x:c r="E431" s="34" t="str">
        <x:v>ImTheBestof</x:v>
      </x:c>
      <x:c r="F431" s="34" t="n">
        <x:v>2063</x:v>
      </x:c>
      <x:c r="G431" s="35" t="n">
        <x:f>IF(C431=0,0,F431/C431*B431)</x:f>
        <x:v>0.7299647154234502</x:v>
      </x:c>
    </x:row>
    <x:row r="432">
      <x:c r="A432" s="33" t="str">
        <x:v>PvE Black</x:v>
      </x:c>
      <x:c r="B432" s="34" t="n">
        <x:v>11000</x:v>
      </x:c>
      <x:c r="C432" s="34" t="n">
        <x:v>31087804</x:v>
      </x:c>
      <x:c r="D432" s="34" t="n">
        <x:v>163</x:v>
      </x:c>
      <x:c r="E432" s="34" t="str">
        <x:v>gugaboss</x:v>
      </x:c>
      <x:c r="F432" s="34" t="n">
        <x:v>1963</x:v>
      </x:c>
      <x:c r="G432" s="35" t="n">
        <x:f>IF(C432=0,0,F432/C432*B432)</x:f>
        <x:v>0.6945810646515913</x:v>
      </x:c>
    </x:row>
    <x:row r="433">
      <x:c r="A433" s="33" t="str">
        <x:v>PvE Black</x:v>
      </x:c>
      <x:c r="B433" s="34" t="n">
        <x:v>11000</x:v>
      </x:c>
      <x:c r="C433" s="34" t="n">
        <x:v>31087804</x:v>
      </x:c>
      <x:c r="D433" s="34" t="n">
        <x:v>164</x:v>
      </x:c>
      <x:c r="E433" s="34" t="str">
        <x:v>MRBrutu</x:v>
      </x:c>
      <x:c r="F433" s="34" t="n">
        <x:v>1908</x:v>
      </x:c>
      <x:c r="G433" s="35" t="n">
        <x:f>IF(C433=0,0,F433/C433*B433)</x:f>
        <x:v>0.6751200567270689</x:v>
      </x:c>
    </x:row>
    <x:row r="434">
      <x:c r="A434" s="33" t="str">
        <x:v>PvE Black</x:v>
      </x:c>
      <x:c r="B434" s="34" t="n">
        <x:v>11000</x:v>
      </x:c>
      <x:c r="C434" s="34" t="n">
        <x:v>31087804</x:v>
      </x:c>
      <x:c r="D434" s="34" t="n">
        <x:v>165</x:v>
      </x:c>
      <x:c r="E434" s="34" t="str">
        <x:v>Mavin</x:v>
      </x:c>
      <x:c r="F434" s="34" t="n">
        <x:v>1729</x:v>
      </x:c>
      <x:c r="G434" s="35" t="n">
        <x:f>IF(C434=0,0,F434/C434*B434)</x:f>
        <x:v>0.6117833218454414</x:v>
      </x:c>
    </x:row>
    <x:row r="435">
      <x:c r="A435" s="33" t="str">
        <x:v>PvE Black</x:v>
      </x:c>
      <x:c r="B435" s="34" t="n">
        <x:v>11000</x:v>
      </x:c>
      <x:c r="C435" s="34" t="n">
        <x:v>31087804</x:v>
      </x:c>
      <x:c r="D435" s="34" t="n">
        <x:v>166</x:v>
      </x:c>
      <x:c r="E435" s="34" t="str">
        <x:v>Miliys</x:v>
      </x:c>
      <x:c r="F435" s="34" t="n">
        <x:v>1618</x:v>
      </x:c>
      <x:c r="G435" s="35" t="n">
        <x:f>IF(C435=0,0,F435/C435*B435)</x:f>
        <x:v>0.5725074694886779</x:v>
      </x:c>
    </x:row>
    <x:row r="436">
      <x:c r="A436" s="33" t="str">
        <x:v>PvE Black</x:v>
      </x:c>
      <x:c r="B436" s="34" t="n">
        <x:v>11000</x:v>
      </x:c>
      <x:c r="C436" s="34" t="n">
        <x:v>31087804</x:v>
      </x:c>
      <x:c r="D436" s="34" t="n">
        <x:v>167</x:v>
      </x:c>
      <x:c r="E436" s="34" t="str">
        <x:v>mknjbh</x:v>
      </x:c>
      <x:c r="F436" s="34" t="n">
        <x:v>1397</x:v>
      </x:c>
      <x:c r="G436" s="35" t="n">
        <x:f>IF(C436=0,0,F436/C436*B436)</x:f>
        <x:v>0.49430960128286966</x:v>
      </x:c>
    </x:row>
    <x:row r="437">
      <x:c r="A437" s="33" t="str">
        <x:v>PvE Black</x:v>
      </x:c>
      <x:c r="B437" s="34" t="n">
        <x:v>11000</x:v>
      </x:c>
      <x:c r="C437" s="34" t="n">
        <x:v>31087804</x:v>
      </x:c>
      <x:c r="D437" s="34" t="n">
        <x:v>168</x:v>
      </x:c>
      <x:c r="E437" s="34" t="str">
        <x:v>RullinSKILL</x:v>
      </x:c>
      <x:c r="F437" s="34" t="n">
        <x:v>1260</x:v>
      </x:c>
      <x:c r="G437" s="35" t="n">
        <x:f>IF(C437=0,0,F437/C437*B437)</x:f>
        <x:v>0.4458339997254229</x:v>
      </x:c>
    </x:row>
    <x:row r="438">
      <x:c r="A438" s="33" t="str">
        <x:v>PvE Black</x:v>
      </x:c>
      <x:c r="B438" s="34" t="n">
        <x:v>11000</x:v>
      </x:c>
      <x:c r="C438" s="34" t="n">
        <x:v>31087804</x:v>
      </x:c>
      <x:c r="D438" s="34" t="n">
        <x:v>169</x:v>
      </x:c>
      <x:c r="E438" s="34" t="str">
        <x:v>Pevida</x:v>
      </x:c>
      <x:c r="F438" s="34" t="n">
        <x:v>1258</x:v>
      </x:c>
      <x:c r="G438" s="35" t="n">
        <x:f>IF(C438=0,0,F438/C438*B438)</x:f>
        <x:v>0.4451263267099857</x:v>
      </x:c>
    </x:row>
    <x:row r="439">
      <x:c r="A439" s="33" t="str">
        <x:v>PvE Black</x:v>
      </x:c>
      <x:c r="B439" s="34" t="n">
        <x:v>11000</x:v>
      </x:c>
      <x:c r="C439" s="34" t="n">
        <x:v>31087804</x:v>
      </x:c>
      <x:c r="D439" s="34" t="n">
        <x:v>170</x:v>
      </x:c>
      <x:c r="E439" s="34" t="str">
        <x:v>gusta23</x:v>
      </x:c>
      <x:c r="F439" s="34" t="n">
        <x:v>951</x:v>
      </x:c>
      <x:c r="G439" s="35" t="n">
        <x:f>IF(C439=0,0,F439/C439*B439)</x:f>
        <x:v>0.3364985188403787</x:v>
      </x:c>
    </x:row>
    <x:row r="440">
      <x:c r="A440" s="33" t="str">
        <x:v>PvE Black</x:v>
      </x:c>
      <x:c r="B440" s="34" t="n">
        <x:v>11000</x:v>
      </x:c>
      <x:c r="C440" s="34" t="n">
        <x:v>31087804</x:v>
      </x:c>
      <x:c r="D440" s="34" t="n">
        <x:v>171</x:v>
      </x:c>
      <x:c r="E440" s="34" t="str">
        <x:v>Toolsnew</x:v>
      </x:c>
      <x:c r="F440" s="34" t="n">
        <x:v>908</x:v>
      </x:c>
      <x:c r="G440" s="35" t="n">
        <x:f>IF(C440=0,0,F440/C440*B440)</x:f>
        <x:v>0.32128354900847933</x:v>
      </x:c>
    </x:row>
    <x:row r="441">
      <x:c r="A441" s="33" t="str">
        <x:v>PvE Black</x:v>
      </x:c>
      <x:c r="B441" s="34" t="n">
        <x:v>11000</x:v>
      </x:c>
      <x:c r="C441" s="34" t="n">
        <x:v>31087804</x:v>
      </x:c>
      <x:c r="D441" s="34" t="n">
        <x:v>172</x:v>
      </x:c>
      <x:c r="E441" s="34" t="str">
        <x:v>HooLisheet</x:v>
      </x:c>
      <x:c r="F441" s="34" t="n">
        <x:v>897</x:v>
      </x:c>
      <x:c r="G441" s="35" t="n">
        <x:f>IF(C441=0,0,F441/C441*B441)</x:f>
        <x:v>0.31739134742357483</x:v>
      </x:c>
    </x:row>
    <x:row r="442">
      <x:c r="A442" s="33" t="str">
        <x:v>PvE Black</x:v>
      </x:c>
      <x:c r="B442" s="34" t="n">
        <x:v>11000</x:v>
      </x:c>
      <x:c r="C442" s="34" t="n">
        <x:v>31087804</x:v>
      </x:c>
      <x:c r="D442" s="34" t="n">
        <x:v>173</x:v>
      </x:c>
      <x:c r="E442" s="34" t="str">
        <x:v>Chapadexx</x:v>
      </x:c>
      <x:c r="F442" s="34" t="n">
        <x:v>704</x:v>
      </x:c>
      <x:c r="G442" s="35" t="n">
        <x:f>IF(C442=0,0,F442/C442*B442)</x:f>
        <x:v>0.24910090143388708</x:v>
      </x:c>
    </x:row>
    <x:row r="443">
      <x:c r="A443" s="33" t="str">
        <x:v>PvE Black</x:v>
      </x:c>
      <x:c r="B443" s="34" t="n">
        <x:v>11000</x:v>
      </x:c>
      <x:c r="C443" s="34" t="n">
        <x:v>31087804</x:v>
      </x:c>
      <x:c r="D443" s="34" t="n">
        <x:v>174</x:v>
      </x:c>
      <x:c r="E443" s="34" t="str">
        <x:v>Spotk</x:v>
      </x:c>
      <x:c r="F443" s="34" t="n">
        <x:v>677</x:v>
      </x:c>
      <x:c r="G443" s="35" t="n">
        <x:f>IF(C443=0,0,F443/C443*B443)</x:f>
        <x:v>0.23954731572548515</x:v>
      </x:c>
    </x:row>
    <x:row r="444">
      <x:c r="A444" s="33" t="str">
        <x:v>PvE Black</x:v>
      </x:c>
      <x:c r="B444" s="34" t="n">
        <x:v>11000</x:v>
      </x:c>
      <x:c r="C444" s="34" t="n">
        <x:v>31087804</x:v>
      </x:c>
      <x:c r="D444" s="34" t="n">
        <x:v>175</x:v>
      </x:c>
      <x:c r="E444" s="34" t="str">
        <x:v>TioTrymmi</x:v>
      </x:c>
      <x:c r="F444" s="34" t="n">
        <x:v>581</x:v>
      </x:c>
      <x:c r="G444" s="35" t="n">
        <x:f>IF(C444=0,0,F444/C444*B444)</x:f>
        <x:v>0.20557901098450057</x:v>
      </x:c>
    </x:row>
    <x:row r="445">
      <x:c r="A445" s="33" t="str">
        <x:v>PvE Black</x:v>
      </x:c>
      <x:c r="B445" s="34" t="n">
        <x:v>11000</x:v>
      </x:c>
      <x:c r="C445" s="34" t="n">
        <x:v>31087804</x:v>
      </x:c>
      <x:c r="D445" s="34" t="n">
        <x:v>176</x:v>
      </x:c>
      <x:c r="E445" s="34" t="str">
        <x:v>ROLEPLAY</x:v>
      </x:c>
      <x:c r="F445" s="34" t="n">
        <x:v>518</x:v>
      </x:c>
      <x:c r="G445" s="35" t="n">
        <x:f>IF(C445=0,0,F445/C445*B445)</x:f>
        <x:v>0.1832873109982294</x:v>
      </x:c>
    </x:row>
    <x:row r="446">
      <x:c r="A446" s="33" t="str">
        <x:v>PvE Black</x:v>
      </x:c>
      <x:c r="B446" s="34" t="n">
        <x:v>11000</x:v>
      </x:c>
      <x:c r="C446" s="34" t="n">
        <x:v>31087804</x:v>
      </x:c>
      <x:c r="D446" s="34" t="n">
        <x:v>177</x:v>
      </x:c>
      <x:c r="E446" s="34" t="str">
        <x:v>Siriuslx7</x:v>
      </x:c>
      <x:c r="F446" s="34" t="n">
        <x:v>487</x:v>
      </x:c>
      <x:c r="G446" s="35" t="n">
        <x:f>IF(C446=0,0,F446/C446*B446)</x:f>
        <x:v>0.1723183792589531</x:v>
      </x:c>
    </x:row>
    <x:row r="447">
      <x:c r="A447" s="33" t="str">
        <x:v>PvE Black</x:v>
      </x:c>
      <x:c r="B447" s="34" t="n">
        <x:v>11000</x:v>
      </x:c>
      <x:c r="C447" s="34" t="n">
        <x:v>31087804</x:v>
      </x:c>
      <x:c r="D447" s="34" t="n">
        <x:v>178</x:v>
      </x:c>
      <x:c r="E447" s="34" t="str">
        <x:v>Kaduuuuu</x:v>
      </x:c>
      <x:c r="F447" s="34" t="n">
        <x:v>427</x:v>
      </x:c>
      <x:c r="G447" s="35" t="n">
        <x:f>IF(C447=0,0,F447/C447*B447)</x:f>
        <x:v>0.15108818879583777</x:v>
      </x:c>
    </x:row>
    <x:row r="448">
      <x:c r="A448" s="33" t="str">
        <x:v>PvE Black</x:v>
      </x:c>
      <x:c r="B448" s="34" t="n">
        <x:v>11000</x:v>
      </x:c>
      <x:c r="C448" s="34" t="n">
        <x:v>31087804</x:v>
      </x:c>
      <x:c r="D448" s="34" t="n">
        <x:v>179</x:v>
      </x:c>
      <x:c r="E448" s="34" t="str">
        <x:v>OskiGoat</x:v>
      </x:c>
      <x:c r="F448" s="34" t="n">
        <x:v>383</x:v>
      </x:c>
      <x:c r="G448" s="35" t="n">
        <x:f>IF(C448=0,0,F448/C448*B448)</x:f>
        <x:v>0.1355193824562198</x:v>
      </x:c>
    </x:row>
    <x:row r="449">
      <x:c r="A449" s="33" t="str">
        <x:v>PvE Black</x:v>
      </x:c>
      <x:c r="B449" s="34" t="n">
        <x:v>11000</x:v>
      </x:c>
      <x:c r="C449" s="34" t="n">
        <x:v>31087804</x:v>
      </x:c>
      <x:c r="D449" s="34" t="n">
        <x:v>180</x:v>
      </x:c>
      <x:c r="E449" s="34" t="str">
        <x:v>Lourok</x:v>
      </x:c>
      <x:c r="F449" s="34" t="n">
        <x:v>364</x:v>
      </x:c>
      <x:c r="G449" s="35" t="n">
        <x:f>IF(C449=0,0,F449/C449*B449)</x:f>
        <x:v>0.1287964888095666</x:v>
      </x:c>
    </x:row>
    <x:row r="450">
      <x:c r="A450" s="33" t="str">
        <x:v>PvE Black</x:v>
      </x:c>
      <x:c r="B450" s="34" t="n">
        <x:v>11000</x:v>
      </x:c>
      <x:c r="C450" s="34" t="n">
        <x:v>31087804</x:v>
      </x:c>
      <x:c r="D450" s="34" t="n">
        <x:v>181</x:v>
      </x:c>
      <x:c r="E450" s="34" t="str">
        <x:v>yPROF</x:v>
      </x:c>
      <x:c r="F450" s="34" t="n">
        <x:v>301</x:v>
      </x:c>
      <x:c r="G450" s="35" t="n">
        <x:f>IF(C450=0,0,F450/C450*B450)</x:f>
        <x:v>0.10650478882329546</x:v>
      </x:c>
    </x:row>
    <x:row r="451">
      <x:c r="A451" s="33" t="str">
        <x:v>PvE Black</x:v>
      </x:c>
      <x:c r="B451" s="34" t="n">
        <x:v>11000</x:v>
      </x:c>
      <x:c r="C451" s="34" t="n">
        <x:v>31087804</x:v>
      </x:c>
      <x:c r="D451" s="34" t="n">
        <x:v>182</x:v>
      </x:c>
      <x:c r="E451" s="34" t="str">
        <x:v>Bigodediarame</x:v>
      </x:c>
      <x:c r="F451" s="34" t="n">
        <x:v>293</x:v>
      </x:c>
      <x:c r="G451" s="35" t="n">
        <x:f>IF(C451=0,0,F451/C451*B451)</x:f>
        <x:v>0.10367409676154675</x:v>
      </x:c>
    </x:row>
    <x:row r="452">
      <x:c r="A452" s="33" t="str">
        <x:v>PvE Black</x:v>
      </x:c>
      <x:c r="B452" s="34" t="n">
        <x:v>11000</x:v>
      </x:c>
      <x:c r="C452" s="34" t="n">
        <x:v>31087804</x:v>
      </x:c>
      <x:c r="D452" s="34" t="n">
        <x:v>183</x:v>
      </x:c>
      <x:c r="E452" s="34" t="str">
        <x:v>Austrix</x:v>
      </x:c>
      <x:c r="F452" s="34" t="n">
        <x:v>292</x:v>
      </x:c>
      <x:c r="G452" s="35" t="n">
        <x:f>IF(C452=0,0,F452/C452*B452)</x:f>
        <x:v>0.10332026025382816</x:v>
      </x:c>
    </x:row>
    <x:row r="453">
      <x:c r="A453" s="33" t="str">
        <x:v>PvE Black</x:v>
      </x:c>
      <x:c r="B453" s="34" t="n">
        <x:v>11000</x:v>
      </x:c>
      <x:c r="C453" s="34" t="n">
        <x:v>31087804</x:v>
      </x:c>
      <x:c r="D453" s="34" t="n">
        <x:v>184</x:v>
      </x:c>
      <x:c r="E453" s="34" t="str">
        <x:v>SShadowless</x:v>
      </x:c>
      <x:c r="F453" s="34" t="n">
        <x:v>279</x:v>
      </x:c>
      <x:c r="G453" s="35" t="n">
        <x:f>IF(C453=0,0,F453/C453*B453)</x:f>
        <x:v>0.0987203856534865</x:v>
      </x:c>
    </x:row>
    <x:row r="454">
      <x:c r="A454" s="33" t="str">
        <x:v>PvE Black</x:v>
      </x:c>
      <x:c r="B454" s="34" t="n">
        <x:v>11000</x:v>
      </x:c>
      <x:c r="C454" s="34" t="n">
        <x:v>31087804</x:v>
      </x:c>
      <x:c r="D454" s="34" t="n">
        <x:v>185</x:v>
      </x:c>
      <x:c r="E454" s="34" t="str">
        <x:v>Wolfy1st</x:v>
      </x:c>
      <x:c r="F454" s="34" t="n">
        <x:v>267</x:v>
      </x:c>
      <x:c r="G454" s="35" t="n">
        <x:f>IF(C454=0,0,F454/C454*B454)</x:f>
        <x:v>0.09447434756086341</x:v>
      </x:c>
    </x:row>
    <x:row r="455">
      <x:c r="A455" s="33" t="str">
        <x:v>PvE Black</x:v>
      </x:c>
      <x:c r="B455" s="34" t="n">
        <x:v>11000</x:v>
      </x:c>
      <x:c r="C455" s="34" t="n">
        <x:v>31087804</x:v>
      </x:c>
      <x:c r="D455" s="34" t="n">
        <x:v>186</x:v>
      </x:c>
      <x:c r="E455" s="34" t="str">
        <x:v>Bijior</x:v>
      </x:c>
      <x:c r="F455" s="34" t="n">
        <x:v>249</x:v>
      </x:c>
      <x:c r="G455" s="35" t="n">
        <x:f>IF(C455=0,0,F455/C455*B455)</x:f>
        <x:v>0.0881052904219288</x:v>
      </x:c>
    </x:row>
    <x:row r="456">
      <x:c r="A456" s="33" t="str">
        <x:v>PvE Black</x:v>
      </x:c>
      <x:c r="B456" s="34" t="n">
        <x:v>11000</x:v>
      </x:c>
      <x:c r="C456" s="34" t="n">
        <x:v>31087804</x:v>
      </x:c>
      <x:c r="D456" s="34" t="n">
        <x:v>187</x:v>
      </x:c>
      <x:c r="E456" s="34" t="str">
        <x:v>suypoM</x:v>
      </x:c>
      <x:c r="F456" s="34" t="n">
        <x:v>233</x:v>
      </x:c>
      <x:c r="G456" s="35" t="n">
        <x:f>IF(C456=0,0,F456/C456*B456)</x:f>
        <x:v>0.08244390629843137</x:v>
      </x:c>
    </x:row>
    <x:row r="457">
      <x:c r="A457" s="33" t="str">
        <x:v>PvE Black</x:v>
      </x:c>
      <x:c r="B457" s="34" t="n">
        <x:v>11000</x:v>
      </x:c>
      <x:c r="C457" s="34" t="n">
        <x:v>31087804</x:v>
      </x:c>
      <x:c r="D457" s="34" t="n">
        <x:v>188</x:v>
      </x:c>
      <x:c r="E457" s="34" t="str">
        <x:v>Sracriola</x:v>
      </x:c>
      <x:c r="F457" s="34" t="n">
        <x:v>206</x:v>
      </x:c>
      <x:c r="G457" s="35" t="n">
        <x:f>IF(C457=0,0,F457/C457*B457)</x:f>
        <x:v>0.07289032059002945</x:v>
      </x:c>
    </x:row>
    <x:row r="458">
      <x:c r="A458" s="33" t="str">
        <x:v>PvE Black</x:v>
      </x:c>
      <x:c r="B458" s="34" t="n">
        <x:v>11000</x:v>
      </x:c>
      <x:c r="C458" s="34" t="n">
        <x:v>31087804</x:v>
      </x:c>
      <x:c r="D458" s="34" t="n">
        <x:v>189</x:v>
      </x:c>
      <x:c r="E458" s="34" t="str">
        <x:v>FVZX</x:v>
      </x:c>
      <x:c r="F458" s="34" t="n">
        <x:v>174</x:v>
      </x:c>
      <x:c r="G458" s="35" t="n">
        <x:f>IF(C458=0,0,F458/C458*B458)</x:f>
        <x:v>0.061567552343034584</x:v>
      </x:c>
    </x:row>
    <x:row r="459">
      <x:c r="A459" s="33" t="str">
        <x:v>PvE Black</x:v>
      </x:c>
      <x:c r="B459" s="34" t="n">
        <x:v>11000</x:v>
      </x:c>
      <x:c r="C459" s="34" t="n">
        <x:v>31087804</x:v>
      </x:c>
      <x:c r="D459" s="34" t="n">
        <x:v>190</x:v>
      </x:c>
      <x:c r="E459" s="34" t="str">
        <x:v>MRyeezy007</x:v>
      </x:c>
      <x:c r="F459" s="34" t="n">
        <x:v>156</x:v>
      </x:c>
      <x:c r="G459" s="35" t="n">
        <x:f>IF(C459=0,0,F459/C459*B459)</x:f>
        <x:v>0.05519849520409997</x:v>
      </x:c>
    </x:row>
    <x:row r="460">
      <x:c r="A460" s="33" t="str">
        <x:v>PvE Black</x:v>
      </x:c>
      <x:c r="B460" s="34" t="n">
        <x:v>11000</x:v>
      </x:c>
      <x:c r="C460" s="34" t="n">
        <x:v>31087804</x:v>
      </x:c>
      <x:c r="D460" s="34" t="n">
        <x:v>191</x:v>
      </x:c>
      <x:c r="E460" s="34" t="str">
        <x:v>JORJAO</x:v>
      </x:c>
      <x:c r="F460" s="34" t="n">
        <x:v>132</x:v>
      </x:c>
      <x:c r="G460" s="35" t="n">
        <x:f>IF(C460=0,0,F460/C460*B460)</x:f>
        <x:v>0.04670641901885383</x:v>
      </x:c>
    </x:row>
    <x:row r="461">
      <x:c r="A461" s="33" t="str">
        <x:v>PvE Black</x:v>
      </x:c>
      <x:c r="B461" s="34" t="n">
        <x:v>11000</x:v>
      </x:c>
      <x:c r="C461" s="34" t="n">
        <x:v>31087804</x:v>
      </x:c>
      <x:c r="D461" s="34" t="n">
        <x:v>192</x:v>
      </x:c>
      <x:c r="E461" s="34" t="str">
        <x:v>H1gor</x:v>
      </x:c>
      <x:c r="F461" s="34" t="n">
        <x:v>110</x:v>
      </x:c>
      <x:c r="G461" s="35" t="n">
        <x:f>IF(C461=0,0,F461/C461*B461)</x:f>
        <x:v>0.03892201584904485</x:v>
      </x:c>
    </x:row>
    <x:row r="462">
      <x:c r="A462" s="33" t="str">
        <x:v>PvE Black</x:v>
      </x:c>
      <x:c r="B462" s="34" t="n">
        <x:v>11000</x:v>
      </x:c>
      <x:c r="C462" s="34" t="n">
        <x:v>31087804</x:v>
      </x:c>
      <x:c r="D462" s="34" t="n">
        <x:v>193</x:v>
      </x:c>
      <x:c r="E462" s="34" t="str">
        <x:v>Soamaldioado</x:v>
      </x:c>
      <x:c r="F462" s="34" t="n">
        <x:v>108</x:v>
      </x:c>
      <x:c r="G462" s="35" t="n">
        <x:f>IF(C462=0,0,F462/C462*B462)</x:f>
        <x:v>0.038214342833607674</x:v>
      </x:c>
    </x:row>
    <x:row r="463">
      <x:c r="A463" s="33" t="str">
        <x:v>PvE Black</x:v>
      </x:c>
      <x:c r="B463" s="34" t="n">
        <x:v>11000</x:v>
      </x:c>
      <x:c r="C463" s="34" t="n">
        <x:v>31087804</x:v>
      </x:c>
      <x:c r="D463" s="34" t="n">
        <x:v>194</x:v>
      </x:c>
      <x:c r="E463" s="34" t="str">
        <x:v>ROBINHOBINHO</x:v>
      </x:c>
      <x:c r="F463" s="34" t="n">
        <x:v>105</x:v>
      </x:c>
      <x:c r="G463" s="35" t="n">
        <x:f>IF(C463=0,0,F463/C463*B463)</x:f>
        <x:v>0.0371528333104519</x:v>
      </x:c>
    </x:row>
    <x:row r="464">
      <x:c r="A464" s="33" t="str">
        <x:v>PvE Black</x:v>
      </x:c>
      <x:c r="B464" s="34" t="n">
        <x:v>11000</x:v>
      </x:c>
      <x:c r="C464" s="34" t="n">
        <x:v>31087804</x:v>
      </x:c>
      <x:c r="D464" s="34" t="n">
        <x:v>195</x:v>
      </x:c>
      <x:c r="E464" s="34" t="str">
        <x:v>Afonsosa</x:v>
      </x:c>
      <x:c r="F464" s="34" t="n">
        <x:v>99</x:v>
      </x:c>
      <x:c r="G464" s="35" t="n">
        <x:f>IF(C464=0,0,F464/C464*B464)</x:f>
        <x:v>0.03502981426414037</x:v>
      </x:c>
    </x:row>
    <x:row r="465">
      <x:c r="A465" s="33" t="str">
        <x:v>PvE Black</x:v>
      </x:c>
      <x:c r="B465" s="34" t="n">
        <x:v>11000</x:v>
      </x:c>
      <x:c r="C465" s="34" t="n">
        <x:v>31087804</x:v>
      </x:c>
      <x:c r="D465" s="34" t="n">
        <x:v>196</x:v>
      </x:c>
      <x:c r="E465" s="34" t="str">
        <x:v>Patiinhas</x:v>
      </x:c>
      <x:c r="F465" s="34" t="n">
        <x:v>77</x:v>
      </x:c>
      <x:c r="G465" s="35" t="n">
        <x:f>IF(C465=0,0,F465/C465*B465)</x:f>
        <x:v>0.027245411094331397</x:v>
      </x:c>
    </x:row>
    <x:row r="466">
      <x:c r="A466" s="33" t="str">
        <x:v>PvE Black</x:v>
      </x:c>
      <x:c r="B466" s="34" t="n">
        <x:v>11000</x:v>
      </x:c>
      <x:c r="C466" s="34" t="n">
        <x:v>31087804</x:v>
      </x:c>
      <x:c r="D466" s="34" t="n">
        <x:v>197</x:v>
      </x:c>
      <x:c r="E466" s="34" t="str">
        <x:v>BUNNYYKII</x:v>
      </x:c>
      <x:c r="F466" s="34" t="n">
        <x:v>69</x:v>
      </x:c>
      <x:c r="G466" s="35" t="n">
        <x:f>IF(C466=0,0,F466/C466*B466)</x:f>
        <x:v>0.024414719032582678</x:v>
      </x:c>
    </x:row>
    <x:row r="467">
      <x:c r="A467" s="33" t="str">
        <x:v>PvE Black</x:v>
      </x:c>
      <x:c r="B467" s="34" t="n">
        <x:v>11000</x:v>
      </x:c>
      <x:c r="C467" s="34" t="n">
        <x:v>31087804</x:v>
      </x:c>
      <x:c r="D467" s="34" t="n">
        <x:v>198</x:v>
      </x:c>
      <x:c r="E467" s="34" t="str">
        <x:v>Margitomen</x:v>
      </x:c>
      <x:c r="F467" s="34" t="n">
        <x:v>67</x:v>
      </x:c>
      <x:c r="G467" s="35" t="n">
        <x:f>IF(C467=0,0,F467/C467*B467)</x:f>
        <x:v>0.0237070460171455</x:v>
      </x:c>
    </x:row>
    <x:row r="468">
      <x:c r="A468" s="33" t="str">
        <x:v>PvE Black</x:v>
      </x:c>
      <x:c r="B468" s="34" t="n">
        <x:v>11000</x:v>
      </x:c>
      <x:c r="C468" s="34" t="n">
        <x:v>31087804</x:v>
      </x:c>
      <x:c r="D468" s="34" t="n">
        <x:v>199</x:v>
      </x:c>
      <x:c r="E468" s="34" t="str">
        <x:v>DinossauroDino</x:v>
      </x:c>
      <x:c r="F468" s="34" t="n">
        <x:v>59</x:v>
      </x:c>
      <x:c r="G468" s="35" t="n">
        <x:f>IF(C468=0,0,F468/C468*B468)</x:f>
        <x:v>0.020876353955396786</x:v>
      </x:c>
    </x:row>
    <x:row r="469">
      <x:c r="A469" s="33" t="str">
        <x:v>PvE Black</x:v>
      </x:c>
      <x:c r="B469" s="34" t="n">
        <x:v>11000</x:v>
      </x:c>
      <x:c r="C469" s="34" t="n">
        <x:v>31087804</x:v>
      </x:c>
      <x:c r="D469" s="34" t="n">
        <x:v>200</x:v>
      </x:c>
      <x:c r="E469" s="34" t="str">
        <x:v>BotaAcara</x:v>
      </x:c>
      <x:c r="F469" s="34" t="n">
        <x:v>42</x:v>
      </x:c>
      <x:c r="G469" s="35" t="n">
        <x:f>IF(C469=0,0,F469/C469*B469)</x:f>
        <x:v>0.014861133324180762</x:v>
      </x:c>
    </x:row>
    <x:row r="470">
      <x:c r="A470" s="33" t="str">
        <x:v>PvE Black</x:v>
      </x:c>
      <x:c r="B470" s="34" t="n">
        <x:v>11000</x:v>
      </x:c>
      <x:c r="C470" s="34" t="n">
        <x:v>31087804</x:v>
      </x:c>
      <x:c r="D470" s="34" t="n">
        <x:v>201</x:v>
      </x:c>
      <x:c r="E470" s="34" t="str">
        <x:v>SainorViking</x:v>
      </x:c>
      <x:c r="F470" s="34" t="n">
        <x:v>31</x:v>
      </x:c>
      <x:c r="G470" s="35" t="n">
        <x:f>IF(C470=0,0,F470/C470*B470)</x:f>
        <x:v>0.010968931739276279</x:v>
      </x:c>
    </x:row>
    <x:row r="471">
      <x:c r="A471" s="33" t="str">
        <x:v>PvE Black</x:v>
      </x:c>
      <x:c r="B471" s="34" t="n">
        <x:v>11000</x:v>
      </x:c>
      <x:c r="C471" s="34" t="n">
        <x:v>31087804</x:v>
      </x:c>
      <x:c r="D471" s="34" t="n">
        <x:v>202</x:v>
      </x:c>
      <x:c r="E471" s="34" t="str">
        <x:v>ArmandoTeles</x:v>
      </x:c>
      <x:c r="F471" s="34" t="n">
        <x:v>29</x:v>
      </x:c>
      <x:c r="G471" s="35" t="n">
        <x:f>IF(C471=0,0,F471/C471*B471)</x:f>
        <x:v>0.010261258723839099</x:v>
      </x:c>
    </x:row>
    <x:row r="472">
      <x:c r="A472" s="33" t="str">
        <x:v>PvE Black</x:v>
      </x:c>
      <x:c r="B472" s="34" t="n">
        <x:v>11000</x:v>
      </x:c>
      <x:c r="C472" s="34" t="n">
        <x:v>31087804</x:v>
      </x:c>
      <x:c r="D472" s="34" t="n">
        <x:v>203</x:v>
      </x:c>
      <x:c r="E472" s="34" t="str">
        <x:v>Xiitos</x:v>
      </x:c>
      <x:c r="F472" s="34" t="n">
        <x:v>14</x:v>
      </x:c>
      <x:c r="G472" s="35" t="n">
        <x:f>IF(C472=0,0,F472/C472*B472)</x:f>
        <x:v>0.004953711108060254</x:v>
      </x:c>
    </x:row>
    <x:row r="473">
      <x:c r="A473" s="33" t="str">
        <x:v>PvE Black</x:v>
      </x:c>
      <x:c r="B473" s="34" t="n">
        <x:v>11000</x:v>
      </x:c>
      <x:c r="C473" s="34" t="n">
        <x:v>31087804</x:v>
      </x:c>
      <x:c r="D473" s="34" t="n">
        <x:v>204</x:v>
      </x:c>
      <x:c r="E473" s="34" t="str">
        <x:v>SHEIKdoPONTILHAO</x:v>
      </x:c>
      <x:c r="F473" s="34" t="n">
        <x:v>2</x:v>
      </x:c>
      <x:c r="G473" s="35" t="n">
        <x:f>IF(C473=0,0,F473/C473*B473)</x:f>
        <x:v>0.0007076730154371792</x:v>
      </x:c>
    </x:row>
    <x:row r="474">
      <x:c r="A474" s="33" t="str">
        <x:v>PvE Black</x:v>
      </x:c>
      <x:c r="B474" s="34" t="n">
        <x:v>11000</x:v>
      </x:c>
      <x:c r="C474" s="34" t="n">
        <x:v>31087804</x:v>
      </x:c>
      <x:c r="D474" s="34" t="n">
        <x:v>205</x:v>
      </x:c>
      <x:c r="E474" s="34" t="str">
        <x:v>lord3444</x:v>
      </x:c>
      <x:c r="F474" s="34" t="n">
        <x:v>1</x:v>
      </x:c>
      <x:c r="G474" s="35" t="n">
        <x:f>IF(C474=0,0,F474/C474*B474)</x:f>
        <x:v>0.0003538365077185896</x:v>
      </x:c>
    </x:row>
    <x:row r="475">
      <x:c r="A475" s="33" t="str">
        <x:v>Coleta Black</x:v>
      </x:c>
      <x:c r="B475" s="34" t="n">
        <x:v>7600</x:v>
      </x:c>
      <x:c r="C475" s="34" t="n">
        <x:v>1929619</x:v>
      </x:c>
      <x:c r="D475" s="34" t="n">
        <x:v>1</x:v>
      </x:c>
      <x:c r="E475" s="34" t="str">
        <x:v>Nagacaburos</x:v>
      </x:c>
      <x:c r="F475" s="34" t="n">
        <x:v>112217</x:v>
      </x:c>
      <x:c r="G475" s="35" t="n">
        <x:f>IF(C475=0,0,F475/C475*B475)</x:f>
        <x:v>441.97802778683257</x:v>
      </x:c>
    </x:row>
    <x:row r="476">
      <x:c r="A476" s="33" t="str">
        <x:v>Coleta Black</x:v>
      </x:c>
      <x:c r="B476" s="34" t="n">
        <x:v>7600</x:v>
      </x:c>
      <x:c r="C476" s="34" t="n">
        <x:v>1929619</x:v>
      </x:c>
      <x:c r="D476" s="34" t="n">
        <x:v>2</x:v>
      </x:c>
      <x:c r="E476" s="34" t="str">
        <x:v>VTracer</x:v>
      </x:c>
      <x:c r="F476" s="34" t="n">
        <x:v>88870</x:v>
      </x:c>
      <x:c r="G476" s="35" t="n">
        <x:f>IF(C476=0,0,F476/C476*B476)</x:f>
        <x:v>350.0235020488501</x:v>
      </x:c>
    </x:row>
    <x:row r="477">
      <x:c r="A477" s="33" t="str">
        <x:v>Coleta Black</x:v>
      </x:c>
      <x:c r="B477" s="34" t="n">
        <x:v>7600</x:v>
      </x:c>
      <x:c r="C477" s="34" t="n">
        <x:v>1929619</x:v>
      </x:c>
      <x:c r="D477" s="34" t="n">
        <x:v>3</x:v>
      </x:c>
      <x:c r="E477" s="34" t="str">
        <x:v>LEOPOLD</x:v>
      </x:c>
      <x:c r="F477" s="34" t="n">
        <x:v>77061</x:v>
      </x:c>
      <x:c r="G477" s="35" t="n">
        <x:f>IF(C477=0,0,F477/C477*B477)</x:f>
        <x:v>303.51255869682046</x:v>
      </x:c>
    </x:row>
    <x:row r="478">
      <x:c r="A478" s="33" t="str">
        <x:v>Coleta Black</x:v>
      </x:c>
      <x:c r="B478" s="34" t="n">
        <x:v>7600</x:v>
      </x:c>
      <x:c r="C478" s="34" t="n">
        <x:v>1929619</x:v>
      </x:c>
      <x:c r="D478" s="34" t="n">
        <x:v>4</x:v>
      </x:c>
      <x:c r="E478" s="34" t="str">
        <x:v>Superpk</x:v>
      </x:c>
      <x:c r="F478" s="34" t="n">
        <x:v>74033</x:v>
      </x:c>
      <x:c r="G478" s="35" t="n">
        <x:f>IF(C478=0,0,F478/C478*B478)</x:f>
        <x:v>291.5864738064872</x:v>
      </x:c>
    </x:row>
    <x:row r="479">
      <x:c r="A479" s="33" t="str">
        <x:v>Coleta Black</x:v>
      </x:c>
      <x:c r="B479" s="34" t="n">
        <x:v>7600</x:v>
      </x:c>
      <x:c r="C479" s="34" t="n">
        <x:v>1929619</x:v>
      </x:c>
      <x:c r="D479" s="34" t="n">
        <x:v>5</x:v>
      </x:c>
      <x:c r="E479" s="34" t="str">
        <x:v>Euhh</x:v>
      </x:c>
      <x:c r="F479" s="34" t="n">
        <x:v>73603</x:v>
      </x:c>
      <x:c r="G479" s="35" t="n">
        <x:f>IF(C479=0,0,F479/C479*B479)</x:f>
        <x:v>289.8928752256274</x:v>
      </x:c>
    </x:row>
    <x:row r="480">
      <x:c r="A480" s="33" t="str">
        <x:v>Coleta Black</x:v>
      </x:c>
      <x:c r="B480" s="34" t="n">
        <x:v>7600</x:v>
      </x:c>
      <x:c r="C480" s="34" t="n">
        <x:v>1929619</x:v>
      </x:c>
      <x:c r="D480" s="34" t="n">
        <x:v>6</x:v>
      </x:c>
      <x:c r="E480" s="34" t="str">
        <x:v>Patolas</x:v>
      </x:c>
      <x:c r="F480" s="34" t="n">
        <x:v>68582</x:v>
      </x:c>
      <x:c r="G480" s="35" t="n">
        <x:f>IF(C480=0,0,F480/C480*B480)</x:f>
        <x:v>270.11715784307677</x:v>
      </x:c>
    </x:row>
    <x:row r="481">
      <x:c r="A481" s="33" t="str">
        <x:v>Coleta Black</x:v>
      </x:c>
      <x:c r="B481" s="34" t="n">
        <x:v>7600</x:v>
      </x:c>
      <x:c r="C481" s="34" t="n">
        <x:v>1929619</x:v>
      </x:c>
      <x:c r="D481" s="34" t="n">
        <x:v>7</x:v>
      </x:c>
      <x:c r="E481" s="34" t="str">
        <x:v>avven1996</x:v>
      </x:c>
      <x:c r="F481" s="34" t="n">
        <x:v>65314</x:v>
      </x:c>
      <x:c r="G481" s="35" t="n">
        <x:f>IF(C481=0,0,F481/C481*B481)</x:f>
        <x:v>257.2458086285427</x:v>
      </x:c>
    </x:row>
    <x:row r="482">
      <x:c r="A482" s="33" t="str">
        <x:v>Coleta Black</x:v>
      </x:c>
      <x:c r="B482" s="34" t="n">
        <x:v>7600</x:v>
      </x:c>
      <x:c r="C482" s="34" t="n">
        <x:v>1929619</x:v>
      </x:c>
      <x:c r="D482" s="34" t="n">
        <x:v>8</x:v>
      </x:c>
      <x:c r="E482" s="34" t="str">
        <x:v>jairrodrigo</x:v>
      </x:c>
      <x:c r="F482" s="34" t="n">
        <x:v>59721</x:v>
      </x:c>
      <x:c r="G482" s="35" t="n">
        <x:f>IF(C482=0,0,F482/C482*B482)</x:f>
        <x:v>235.21721127331352</x:v>
      </x:c>
    </x:row>
    <x:row r="483">
      <x:c r="A483" s="33" t="str">
        <x:v>Coleta Black</x:v>
      </x:c>
      <x:c r="B483" s="34" t="n">
        <x:v>7600</x:v>
      </x:c>
      <x:c r="C483" s="34" t="n">
        <x:v>1929619</x:v>
      </x:c>
      <x:c r="D483" s="34" t="n">
        <x:v>9</x:v>
      </x:c>
      <x:c r="E483" s="34" t="str">
        <x:v>TKZX</x:v>
      </x:c>
      <x:c r="F483" s="34" t="n">
        <x:v>58195</x:v>
      </x:c>
      <x:c r="G483" s="35" t="n">
        <x:f>IF(C483=0,0,F483/C483*B483)</x:f>
        <x:v>229.20690561193686</x:v>
      </x:c>
    </x:row>
    <x:row r="484">
      <x:c r="A484" s="33" t="str">
        <x:v>Coleta Black</x:v>
      </x:c>
      <x:c r="B484" s="34" t="n">
        <x:v>7600</x:v>
      </x:c>
      <x:c r="C484" s="34" t="n">
        <x:v>1929619</x:v>
      </x:c>
      <x:c r="D484" s="34" t="n">
        <x:v>10</x:v>
      </x:c>
      <x:c r="E484" s="34" t="str">
        <x:v>dsn</x:v>
      </x:c>
      <x:c r="F484" s="34" t="n">
        <x:v>53534</x:v>
      </x:c>
      <x:c r="G484" s="35" t="n">
        <x:f>IF(C484=0,0,F484/C484*B484)</x:f>
        <x:v>210.84908471568738</x:v>
      </x:c>
    </x:row>
    <x:row r="485">
      <x:c r="A485" s="33" t="str">
        <x:v>Coleta Black</x:v>
      </x:c>
      <x:c r="B485" s="34" t="n">
        <x:v>7600</x:v>
      </x:c>
      <x:c r="C485" s="34" t="n">
        <x:v>1929619</x:v>
      </x:c>
      <x:c r="D485" s="34" t="n">
        <x:v>11</x:v>
      </x:c>
      <x:c r="E485" s="34" t="str">
        <x:v>Xakalzin</x:v>
      </x:c>
      <x:c r="F485" s="34" t="n">
        <x:v>49185</x:v>
      </x:c>
      <x:c r="G485" s="35" t="n">
        <x:f>IF(C485=0,0,F485/C485*B485)</x:f>
        <x:v>193.72010744089894</x:v>
      </x:c>
    </x:row>
    <x:row r="486">
      <x:c r="A486" s="33" t="str">
        <x:v>Coleta Black</x:v>
      </x:c>
      <x:c r="B486" s="34" t="n">
        <x:v>7600</x:v>
      </x:c>
      <x:c r="C486" s="34" t="n">
        <x:v>1929619</x:v>
      </x:c>
      <x:c r="D486" s="34" t="n">
        <x:v>12</x:v>
      </x:c>
      <x:c r="E486" s="34" t="str">
        <x:v>lordkiller01</x:v>
      </x:c>
      <x:c r="F486" s="34" t="n">
        <x:v>47297</x:v>
      </x:c>
      <x:c r="G486" s="35" t="n">
        <x:f>IF(C486=0,0,F486/C486*B486)</x:f>
        <x:v>186.2840280905194</x:v>
      </x:c>
    </x:row>
    <x:row r="487">
      <x:c r="A487" s="33" t="str">
        <x:v>Coleta Black</x:v>
      </x:c>
      <x:c r="B487" s="34" t="n">
        <x:v>7600</x:v>
      </x:c>
      <x:c r="C487" s="34" t="n">
        <x:v>1929619</x:v>
      </x:c>
      <x:c r="D487" s="34" t="n">
        <x:v>13</x:v>
      </x:c>
      <x:c r="E487" s="34" t="str">
        <x:v>SerpentVeil</x:v>
      </x:c>
      <x:c r="F487" s="34" t="n">
        <x:v>46771</x:v>
      </x:c>
      <x:c r="G487" s="35" t="n">
        <x:f>IF(C487=0,0,F487/C487*B487)</x:f>
        <x:v>184.21232377997936</x:v>
      </x:c>
    </x:row>
    <x:row r="488">
      <x:c r="A488" s="33" t="str">
        <x:v>Coleta Black</x:v>
      </x:c>
      <x:c r="B488" s="34" t="n">
        <x:v>7600</x:v>
      </x:c>
      <x:c r="C488" s="34" t="n">
        <x:v>1929619</x:v>
      </x:c>
      <x:c r="D488" s="34" t="n">
        <x:v>14</x:v>
      </x:c>
      <x:c r="E488" s="34" t="str">
        <x:v>OlhaOPassarinho</x:v>
      </x:c>
      <x:c r="F488" s="34" t="n">
        <x:v>46048</x:v>
      </x:c>
      <x:c r="G488" s="35" t="n">
        <x:f>IF(C488=0,0,F488/C488*B488)</x:f>
        <x:v>181.3647150033245</x:v>
      </x:c>
    </x:row>
    <x:row r="489">
      <x:c r="A489" s="33" t="str">
        <x:v>Coleta Black</x:v>
      </x:c>
      <x:c r="B489" s="34" t="n">
        <x:v>7600</x:v>
      </x:c>
      <x:c r="C489" s="34" t="n">
        <x:v>1929619</x:v>
      </x:c>
      <x:c r="D489" s="34" t="n">
        <x:v>15</x:v>
      </x:c>
      <x:c r="E489" s="34" t="str">
        <x:v>minhafemea1</x:v>
      </x:c>
      <x:c r="F489" s="34" t="n">
        <x:v>45936</x:v>
      </x:c>
      <x:c r="G489" s="35" t="n">
        <x:f>IF(C489=0,0,F489/C489*B489)</x:f>
        <x:v>180.92359165203078</x:v>
      </x:c>
    </x:row>
    <x:row r="490">
      <x:c r="A490" s="33" t="str">
        <x:v>Coleta Black</x:v>
      </x:c>
      <x:c r="B490" s="34" t="n">
        <x:v>7600</x:v>
      </x:c>
      <x:c r="C490" s="34" t="n">
        <x:v>1929619</x:v>
      </x:c>
      <x:c r="D490" s="34" t="n">
        <x:v>16</x:v>
      </x:c>
      <x:c r="E490" s="34" t="str">
        <x:v>MARIOMALAN</x:v>
      </x:c>
      <x:c r="F490" s="34" t="n">
        <x:v>44682</x:v>
      </x:c>
      <x:c r="G490" s="35" t="n">
        <x:f>IF(C490=0,0,F490/C490*B490)</x:f>
        <x:v>175.98458555808168</x:v>
      </x:c>
    </x:row>
    <x:row r="491">
      <x:c r="A491" s="33" t="str">
        <x:v>Coleta Black</x:v>
      </x:c>
      <x:c r="B491" s="34" t="n">
        <x:v>7600</x:v>
      </x:c>
      <x:c r="C491" s="34" t="n">
        <x:v>1929619</x:v>
      </x:c>
      <x:c r="D491" s="34" t="n">
        <x:v>17</x:v>
      </x:c>
      <x:c r="E491" s="34" t="str">
        <x:v>RullinSKILL</x:v>
      </x:c>
      <x:c r="F491" s="34" t="n">
        <x:v>44618</x:v>
      </x:c>
      <x:c r="G491" s="35" t="n">
        <x:f>IF(C491=0,0,F491/C491*B491)</x:f>
        <x:v>175.73251507162814</x:v>
      </x:c>
    </x:row>
    <x:row r="492">
      <x:c r="A492" s="33" t="str">
        <x:v>Coleta Black</x:v>
      </x:c>
      <x:c r="B492" s="34" t="n">
        <x:v>7600</x:v>
      </x:c>
      <x:c r="C492" s="34" t="n">
        <x:v>1929619</x:v>
      </x:c>
      <x:c r="D492" s="34" t="n">
        <x:v>18</x:v>
      </x:c>
      <x:c r="E492" s="34" t="str">
        <x:v>Davimix</x:v>
      </x:c>
      <x:c r="F492" s="34" t="n">
        <x:v>40235</x:v>
      </x:c>
      <x:c r="G492" s="35" t="n">
        <x:f>IF(C492=0,0,F492/C492*B492)</x:f>
        <x:v>158.46962535091123</x:v>
      </x:c>
    </x:row>
    <x:row r="493">
      <x:c r="A493" s="33" t="str">
        <x:v>Coleta Black</x:v>
      </x:c>
      <x:c r="B493" s="34" t="n">
        <x:v>7600</x:v>
      </x:c>
      <x:c r="C493" s="34" t="n">
        <x:v>1929619</x:v>
      </x:c>
      <x:c r="D493" s="34" t="n">
        <x:v>19</x:v>
      </x:c>
      <x:c r="E493" s="34" t="str">
        <x:v>PlantsTK</x:v>
      </x:c>
      <x:c r="F493" s="34" t="n">
        <x:v>39532</x:v>
      </x:c>
      <x:c r="G493" s="35" t="n">
        <x:f>IF(C493=0,0,F493/C493*B493)</x:f>
        <x:v>155.7007886012731</x:v>
      </x:c>
    </x:row>
    <x:row r="494">
      <x:c r="A494" s="33" t="str">
        <x:v>Coleta Black</x:v>
      </x:c>
      <x:c r="B494" s="34" t="n">
        <x:v>7600</x:v>
      </x:c>
      <x:c r="C494" s="34" t="n">
        <x:v>1929619</x:v>
      </x:c>
      <x:c r="D494" s="34" t="n">
        <x:v>20</x:v>
      </x:c>
      <x:c r="E494" s="34" t="str">
        <x:v>Sabedoria7</x:v>
      </x:c>
      <x:c r="F494" s="34" t="n">
        <x:v>37759</x:v>
      </x:c>
      <x:c r="G494" s="35" t="n">
        <x:f>IF(C494=0,0,F494/C494*B494)</x:f>
        <x:v>148.7176484062398</x:v>
      </x:c>
    </x:row>
    <x:row r="495">
      <x:c r="A495" s="33" t="str">
        <x:v>Coleta Black</x:v>
      </x:c>
      <x:c r="B495" s="34" t="n">
        <x:v>7600</x:v>
      </x:c>
      <x:c r="C495" s="34" t="n">
        <x:v>1929619</x:v>
      </x:c>
      <x:c r="D495" s="34" t="n">
        <x:v>21</x:v>
      </x:c>
      <x:c r="E495" s="34" t="str">
        <x:v>imdonedontkillme</x:v>
      </x:c>
      <x:c r="F495" s="34" t="n">
        <x:v>36894</x:v>
      </x:c>
      <x:c r="G495" s="35" t="n">
        <x:f>IF(C495=0,0,F495/C495*B495)</x:f>
        <x:v>145.31075823776612</x:v>
      </x:c>
    </x:row>
    <x:row r="496">
      <x:c r="A496" s="33" t="str">
        <x:v>Coleta Black</x:v>
      </x:c>
      <x:c r="B496" s="34" t="n">
        <x:v>7600</x:v>
      </x:c>
      <x:c r="C496" s="34" t="n">
        <x:v>1929619</x:v>
      </x:c>
      <x:c r="D496" s="34" t="n">
        <x:v>22</x:v>
      </x:c>
      <x:c r="E496" s="34" t="str">
        <x:v>LORDJAPAA</x:v>
      </x:c>
      <x:c r="F496" s="34" t="n">
        <x:v>34992</x:v>
      </x:c>
      <x:c r="G496" s="35" t="n">
        <x:f>IF(C496=0,0,F496/C496*B496)</x:f>
        <x:v>137.81953846847486</x:v>
      </x:c>
    </x:row>
    <x:row r="497">
      <x:c r="A497" s="33" t="str">
        <x:v>Coleta Black</x:v>
      </x:c>
      <x:c r="B497" s="34" t="n">
        <x:v>7600</x:v>
      </x:c>
      <x:c r="C497" s="34" t="n">
        <x:v>1929619</x:v>
      </x:c>
      <x:c r="D497" s="34" t="n">
        <x:v>23</x:v>
      </x:c>
      <x:c r="E497" s="34" t="str">
        <x:v>Soldier027</x:v>
      </x:c>
      <x:c r="F497" s="34" t="n">
        <x:v>30895</x:v>
      </x:c>
      <x:c r="G497" s="35" t="n">
        <x:f>IF(C497=0,0,F497/C497*B497)</x:f>
        <x:v>121.68308873409724</x:v>
      </x:c>
    </x:row>
    <x:row r="498">
      <x:c r="A498" s="33" t="str">
        <x:v>Coleta Black</x:v>
      </x:c>
      <x:c r="B498" s="34" t="n">
        <x:v>7600</x:v>
      </x:c>
      <x:c r="C498" s="34" t="n">
        <x:v>1929619</x:v>
      </x:c>
      <x:c r="D498" s="34" t="n">
        <x:v>24</x:v>
      </x:c>
      <x:c r="E498" s="34" t="str">
        <x:v>KuNaKiNa</x:v>
      </x:c>
      <x:c r="F498" s="34" t="n">
        <x:v>30488</x:v>
      </x:c>
      <x:c r="G498" s="35" t="n">
        <x:f>IF(C498=0,0,F498/C498*B498)</x:f>
        <x:v>120.08007798430675</x:v>
      </x:c>
    </x:row>
    <x:row r="499">
      <x:c r="A499" s="33" t="str">
        <x:v>Coleta Black</x:v>
      </x:c>
      <x:c r="B499" s="34" t="n">
        <x:v>7600</x:v>
      </x:c>
      <x:c r="C499" s="34" t="n">
        <x:v>1929619</x:v>
      </x:c>
      <x:c r="D499" s="34" t="n">
        <x:v>25</x:v>
      </x:c>
      <x:c r="E499" s="34" t="str">
        <x:v>zBrunooHD</x:v>
      </x:c>
      <x:c r="F499" s="34" t="n">
        <x:v>26683</x:v>
      </x:c>
      <x:c r="G499" s="35" t="n">
        <x:f>IF(C499=0,0,F499/C499*B499)</x:f>
        <x:v>105.09369984437342</x:v>
      </x:c>
    </x:row>
    <x:row r="500">
      <x:c r="A500" s="33" t="str">
        <x:v>Coleta Black</x:v>
      </x:c>
      <x:c r="B500" s="34" t="n">
        <x:v>7600</x:v>
      </x:c>
      <x:c r="C500" s="34" t="n">
        <x:v>1929619</x:v>
      </x:c>
      <x:c r="D500" s="34" t="n">
        <x:v>26</x:v>
      </x:c>
      <x:c r="E500" s="34" t="str">
        <x:v>Merus</x:v>
      </x:c>
      <x:c r="F500" s="34" t="n">
        <x:v>24992</x:v>
      </x:c>
      <x:c r="G500" s="35" t="n">
        <x:f>IF(C500=0,0,F500/C500*B500)</x:f>
        <x:v>98.43352496010871</x:v>
      </x:c>
    </x:row>
    <x:row r="501">
      <x:c r="A501" s="33" t="str">
        <x:v>Coleta Black</x:v>
      </x:c>
      <x:c r="B501" s="34" t="n">
        <x:v>7600</x:v>
      </x:c>
      <x:c r="C501" s="34" t="n">
        <x:v>1929619</x:v>
      </x:c>
      <x:c r="D501" s="34" t="n">
        <x:v>27</x:v>
      </x:c>
      <x:c r="E501" s="34" t="str">
        <x:v>maicon1357</x:v>
      </x:c>
      <x:c r="F501" s="34" t="n">
        <x:v>24763</x:v>
      </x:c>
      <x:c r="G501" s="35" t="n">
        <x:f>IF(C501=0,0,F501/C501*B501)</x:f>
        <x:v>97.53158525076712</x:v>
      </x:c>
    </x:row>
    <x:row r="502">
      <x:c r="A502" s="33" t="str">
        <x:v>Coleta Black</x:v>
      </x:c>
      <x:c r="B502" s="34" t="n">
        <x:v>7600</x:v>
      </x:c>
      <x:c r="C502" s="34" t="n">
        <x:v>1929619</x:v>
      </x:c>
      <x:c r="D502" s="34" t="n">
        <x:v>28</x:v>
      </x:c>
      <x:c r="E502" s="34" t="str">
        <x:v>Amakv</x:v>
      </x:c>
      <x:c r="F502" s="34" t="n">
        <x:v>24216</x:v>
      </x:c>
      <x:c r="G502" s="35" t="n">
        <x:f>IF(C502=0,0,F502/C502*B502)</x:f>
        <x:v>95.37717031185949</x:v>
      </x:c>
    </x:row>
    <x:row r="503">
      <x:c r="A503" s="33" t="str">
        <x:v>Coleta Black</x:v>
      </x:c>
      <x:c r="B503" s="34" t="n">
        <x:v>7600</x:v>
      </x:c>
      <x:c r="C503" s="34" t="n">
        <x:v>1929619</x:v>
      </x:c>
      <x:c r="D503" s="34" t="n">
        <x:v>29</x:v>
      </x:c>
      <x:c r="E503" s="34" t="str">
        <x:v>Hi6or</x:v>
      </x:c>
      <x:c r="F503" s="34" t="n">
        <x:v>23370</x:v>
      </x:c>
      <x:c r="G503" s="35" t="n">
        <x:f>IF(C503=0,0,F503/C503*B503)</x:f>
        <x:v>92.04511356905171</x:v>
      </x:c>
    </x:row>
    <x:row r="504">
      <x:c r="A504" s="33" t="str">
        <x:v>Coleta Black</x:v>
      </x:c>
      <x:c r="B504" s="34" t="n">
        <x:v>7600</x:v>
      </x:c>
      <x:c r="C504" s="34" t="n">
        <x:v>1929619</x:v>
      </x:c>
      <x:c r="D504" s="34" t="n">
        <x:v>30</x:v>
      </x:c>
      <x:c r="E504" s="34" t="str">
        <x:v>Guislave</x:v>
      </x:c>
      <x:c r="F504" s="34" t="n">
        <x:v>22764</x:v>
      </x:c>
      <x:c r="G504" s="35" t="n">
        <x:f>IF(C504=0,0,F504/C504*B504)</x:f>
        <x:v>89.65832115044472</x:v>
      </x:c>
    </x:row>
    <x:row r="505">
      <x:c r="A505" s="33" t="str">
        <x:v>Coleta Black</x:v>
      </x:c>
      <x:c r="B505" s="34" t="n">
        <x:v>7600</x:v>
      </x:c>
      <x:c r="C505" s="34" t="n">
        <x:v>1929619</x:v>
      </x:c>
      <x:c r="D505" s="34" t="n">
        <x:v>31</x:v>
      </x:c>
      <x:c r="E505" s="34" t="str">
        <x:v>zNeii</x:v>
      </x:c>
      <x:c r="F505" s="34" t="n">
        <x:v>22315</x:v>
      </x:c>
      <x:c r="G505" s="35" t="n">
        <x:f>IF(C505=0,0,F505/C505*B505)</x:f>
        <x:v>87.88988914391909</x:v>
      </x:c>
    </x:row>
    <x:row r="506">
      <x:c r="A506" s="33" t="str">
        <x:v>Coleta Black</x:v>
      </x:c>
      <x:c r="B506" s="34" t="n">
        <x:v>7600</x:v>
      </x:c>
      <x:c r="C506" s="34" t="n">
        <x:v>1929619</x:v>
      </x:c>
      <x:c r="D506" s="34" t="n">
        <x:v>32</x:v>
      </x:c>
      <x:c r="E506" s="34" t="str">
        <x:v>Tmaiusculo</x:v>
      </x:c>
      <x:c r="F506" s="34" t="n">
        <x:v>21149</x:v>
      </x:c>
      <x:c r="G506" s="35" t="n">
        <x:f>IF(C506=0,0,F506/C506*B506)</x:f>
        <x:v>83.29747996884359</x:v>
      </x:c>
    </x:row>
    <x:row r="507">
      <x:c r="A507" s="33" t="str">
        <x:v>Coleta Black</x:v>
      </x:c>
      <x:c r="B507" s="34" t="n">
        <x:v>7600</x:v>
      </x:c>
      <x:c r="C507" s="34" t="n">
        <x:v>1929619</x:v>
      </x:c>
      <x:c r="D507" s="34" t="n">
        <x:v>33</x:v>
      </x:c>
      <x:c r="E507" s="34" t="str">
        <x:v>Grockyy</x:v>
      </x:c>
      <x:c r="F507" s="34" t="n">
        <x:v>20890</x:v>
      </x:c>
      <x:c r="G507" s="35" t="n">
        <x:f>IF(C507=0,0,F507/C507*B507)</x:f>
        <x:v>82.27738221897691</x:v>
      </x:c>
    </x:row>
    <x:row r="508">
      <x:c r="A508" s="33" t="str">
        <x:v>Coleta Black</x:v>
      </x:c>
      <x:c r="B508" s="34" t="n">
        <x:v>7600</x:v>
      </x:c>
      <x:c r="C508" s="34" t="n">
        <x:v>1929619</x:v>
      </x:c>
      <x:c r="D508" s="34" t="n">
        <x:v>34</x:v>
      </x:c>
      <x:c r="E508" s="34" t="str">
        <x:v>MachoAlpha</x:v>
      </x:c>
      <x:c r="F508" s="34" t="n">
        <x:v>20881</x:v>
      </x:c>
      <x:c r="G508" s="35" t="n">
        <x:f>IF(C508=0,0,F508/C508*B508)</x:f>
        <x:v>82.24193480681939</x:v>
      </x:c>
    </x:row>
    <x:row r="509">
      <x:c r="A509" s="33" t="str">
        <x:v>Coleta Black</x:v>
      </x:c>
      <x:c r="B509" s="34" t="n">
        <x:v>7600</x:v>
      </x:c>
      <x:c r="C509" s="34" t="n">
        <x:v>1929619</x:v>
      </x:c>
      <x:c r="D509" s="34" t="n">
        <x:v>35</x:v>
      </x:c>
      <x:c r="E509" s="34" t="str">
        <x:v>HolyGyat2324</x:v>
      </x:c>
      <x:c r="F509" s="34" t="n">
        <x:v>20062</x:v>
      </x:c>
      <x:c r="G509" s="35" t="n">
        <x:f>IF(C509=0,0,F509/C509*B509)</x:f>
        <x:v>79.01622030048419</x:v>
      </x:c>
    </x:row>
    <x:row r="510">
      <x:c r="A510" s="33" t="str">
        <x:v>Coleta Black</x:v>
      </x:c>
      <x:c r="B510" s="34" t="n">
        <x:v>7600</x:v>
      </x:c>
      <x:c r="C510" s="34" t="n">
        <x:v>1929619</x:v>
      </x:c>
      <x:c r="D510" s="34" t="n">
        <x:v>36</x:v>
      </x:c>
      <x:c r="E510" s="34" t="str">
        <x:v>NamikazePT</x:v>
      </x:c>
      <x:c r="F510" s="34" t="n">
        <x:v>18748</x:v>
      </x:c>
      <x:c r="G510" s="35" t="n">
        <x:f>IF(C510=0,0,F510/C510*B510)</x:f>
        <x:v>73.84089812548488</x:v>
      </x:c>
    </x:row>
    <x:row r="511">
      <x:c r="A511" s="33" t="str">
        <x:v>Coleta Black</x:v>
      </x:c>
      <x:c r="B511" s="34" t="n">
        <x:v>7600</x:v>
      </x:c>
      <x:c r="C511" s="34" t="n">
        <x:v>1929619</x:v>
      </x:c>
      <x:c r="D511" s="34" t="n">
        <x:v>37</x:v>
      </x:c>
      <x:c r="E511" s="34" t="str">
        <x:v>jokker1998</x:v>
      </x:c>
      <x:c r="F511" s="34" t="n">
        <x:v>17077</x:v>
      </x:c>
      <x:c r="G511" s="35" t="n">
        <x:f>IF(C511=0,0,F511/C511*B511)</x:f>
        <x:v>67.25949526823689</x:v>
      </x:c>
    </x:row>
    <x:row r="512">
      <x:c r="A512" s="33" t="str">
        <x:v>Coleta Black</x:v>
      </x:c>
      <x:c r="B512" s="34" t="n">
        <x:v>7600</x:v>
      </x:c>
      <x:c r="C512" s="34" t="n">
        <x:v>1929619</x:v>
      </x:c>
      <x:c r="D512" s="34" t="n">
        <x:v>38</x:v>
      </x:c>
      <x:c r="E512" s="34" t="str">
        <x:v>BSAIGunner</x:v>
      </x:c>
      <x:c r="F512" s="34" t="n">
        <x:v>16544</x:v>
      </x:c>
      <x:c r="G512" s="35" t="n">
        <x:f>IF(C512=0,0,F512/C512*B512)</x:f>
        <x:v>65.16022074824097</x:v>
      </x:c>
    </x:row>
    <x:row r="513">
      <x:c r="A513" s="33" t="str">
        <x:v>Coleta Black</x:v>
      </x:c>
      <x:c r="B513" s="34" t="n">
        <x:v>7600</x:v>
      </x:c>
      <x:c r="C513" s="34" t="n">
        <x:v>1929619</x:v>
      </x:c>
      <x:c r="D513" s="34" t="n">
        <x:v>39</x:v>
      </x:c>
      <x:c r="E513" s="34" t="str">
        <x:v>Mavin</x:v>
      </x:c>
      <x:c r="F513" s="34" t="n">
        <x:v>14930</x:v>
      </x:c>
      <x:c r="G513" s="35" t="n">
        <x:f>IF(C513=0,0,F513/C513*B513)</x:f>
        <x:v>58.803318167990675</x:v>
      </x:c>
    </x:row>
    <x:row r="514">
      <x:c r="A514" s="33" t="str">
        <x:v>Coleta Black</x:v>
      </x:c>
      <x:c r="B514" s="34" t="n">
        <x:v>7600</x:v>
      </x:c>
      <x:c r="C514" s="34" t="n">
        <x:v>1929619</x:v>
      </x:c>
      <x:c r="D514" s="34" t="n">
        <x:v>40</x:v>
      </x:c>
      <x:c r="E514" s="34" t="str">
        <x:v>goncalves23</x:v>
      </x:c>
      <x:c r="F514" s="34" t="n">
        <x:v>14014</x:v>
      </x:c>
      <x:c r="G514" s="35" t="n">
        <x:f>IF(C514=0,0,F514/C514*B514)</x:f>
        <x:v>55.195559330624334</x:v>
      </x:c>
    </x:row>
    <x:row r="515">
      <x:c r="A515" s="33" t="str">
        <x:v>Coleta Black</x:v>
      </x:c>
      <x:c r="B515" s="34" t="n">
        <x:v>7600</x:v>
      </x:c>
      <x:c r="C515" s="34" t="n">
        <x:v>1929619</x:v>
      </x:c>
      <x:c r="D515" s="34" t="n">
        <x:v>41</x:v>
      </x:c>
      <x:c r="E515" s="34" t="str">
        <x:v>Jmbv</x:v>
      </x:c>
      <x:c r="F515" s="34" t="n">
        <x:v>13168</x:v>
      </x:c>
      <x:c r="G515" s="35" t="n">
        <x:f>IF(C515=0,0,F515/C515*B515)</x:f>
        <x:v>51.863502587816555</x:v>
      </x:c>
    </x:row>
    <x:row r="516">
      <x:c r="A516" s="33" t="str">
        <x:v>Coleta Black</x:v>
      </x:c>
      <x:c r="B516" s="34" t="n">
        <x:v>7600</x:v>
      </x:c>
      <x:c r="C516" s="34" t="n">
        <x:v>1929619</x:v>
      </x:c>
      <x:c r="D516" s="34" t="n">
        <x:v>42</x:v>
      </x:c>
      <x:c r="E516" s="34" t="str">
        <x:v>SeuDanadoo</x:v>
      </x:c>
      <x:c r="F516" s="34" t="n">
        <x:v>13029</x:v>
      </x:c>
      <x:c r="G516" s="35" t="n">
        <x:f>IF(C516=0,0,F516/C516*B516)</x:f>
        <x:v>51.316037000050265</x:v>
      </x:c>
    </x:row>
    <x:row r="517">
      <x:c r="A517" s="33" t="str">
        <x:v>Coleta Black</x:v>
      </x:c>
      <x:c r="B517" s="34" t="n">
        <x:v>7600</x:v>
      </x:c>
      <x:c r="C517" s="34" t="n">
        <x:v>1929619</x:v>
      </x:c>
      <x:c r="D517" s="34" t="n">
        <x:v>43</x:v>
      </x:c>
      <x:c r="E517" s="34" t="str">
        <x:v>Jarjarjeanbon</x:v>
      </x:c>
      <x:c r="F517" s="34" t="n">
        <x:v>12374</x:v>
      </x:c>
      <x:c r="G517" s="35" t="n">
        <x:f>IF(C517=0,0,F517/C517*B517)</x:f>
        <x:v>48.73625311525229</x:v>
      </x:c>
    </x:row>
    <x:row r="518">
      <x:c r="A518" s="33" t="str">
        <x:v>Coleta Black</x:v>
      </x:c>
      <x:c r="B518" s="34" t="n">
        <x:v>7600</x:v>
      </x:c>
      <x:c r="C518" s="34" t="n">
        <x:v>1929619</x:v>
      </x:c>
      <x:c r="D518" s="34" t="n">
        <x:v>44</x:v>
      </x:c>
      <x:c r="E518" s="34" t="str">
        <x:v>MYLOLA262</x:v>
      </x:c>
      <x:c r="F518" s="34" t="n">
        <x:v>12351</x:v>
      </x:c>
      <x:c r="G518" s="35" t="n">
        <x:f>IF(C518=0,0,F518/C518*B518)</x:f>
        <x:v>48.645665284183046</x:v>
      </x:c>
    </x:row>
    <x:row r="519">
      <x:c r="A519" s="33" t="str">
        <x:v>Coleta Black</x:v>
      </x:c>
      <x:c r="B519" s="34" t="n">
        <x:v>7600</x:v>
      </x:c>
      <x:c r="C519" s="34" t="n">
        <x:v>1929619</x:v>
      </x:c>
      <x:c r="D519" s="34" t="n">
        <x:v>45</x:v>
      </x:c>
      <x:c r="E519" s="34" t="str">
        <x:v>hardfedles</x:v>
      </x:c>
      <x:c r="F519" s="34" t="n">
        <x:v>11794</x:v>
      </x:c>
      <x:c r="G519" s="35" t="n">
        <x:f>IF(C519=0,0,F519/C519*B519)</x:f>
        <x:v>46.45186433176705</x:v>
      </x:c>
    </x:row>
    <x:row r="520">
      <x:c r="A520" s="33" t="str">
        <x:v>Coleta Black</x:v>
      </x:c>
      <x:c r="B520" s="34" t="n">
        <x:v>7600</x:v>
      </x:c>
      <x:c r="C520" s="34" t="n">
        <x:v>1929619</x:v>
      </x:c>
      <x:c r="D520" s="34" t="n">
        <x:v>46</x:v>
      </x:c>
      <x:c r="E520" s="34" t="str">
        <x:v>Sum0l</x:v>
      </x:c>
      <x:c r="F520" s="34" t="n">
        <x:v>11721</x:v>
      </x:c>
      <x:c r="G520" s="35" t="n">
        <x:f>IF(C520=0,0,F520/C520*B520)</x:f>
        <x:v>46.16434643315598</x:v>
      </x:c>
    </x:row>
    <x:row r="521">
      <x:c r="A521" s="33" t="str">
        <x:v>Coleta Black</x:v>
      </x:c>
      <x:c r="B521" s="34" t="n">
        <x:v>7600</x:v>
      </x:c>
      <x:c r="C521" s="34" t="n">
        <x:v>1929619</x:v>
      </x:c>
      <x:c r="D521" s="34" t="n">
        <x:v>47</x:v>
      </x:c>
      <x:c r="E521" s="34" t="str">
        <x:v>Groom84</x:v>
      </x:c>
      <x:c r="F521" s="34" t="n">
        <x:v>11170</x:v>
      </x:c>
      <x:c r="G521" s="35" t="n">
        <x:f>IF(C521=0,0,F521/C521*B521)</x:f>
        <x:v>43.994177088845</x:v>
      </x:c>
    </x:row>
    <x:row r="522">
      <x:c r="A522" s="33" t="str">
        <x:v>Coleta Black</x:v>
      </x:c>
      <x:c r="B522" s="34" t="n">
        <x:v>7600</x:v>
      </x:c>
      <x:c r="C522" s="34" t="n">
        <x:v>1929619</x:v>
      </x:c>
      <x:c r="D522" s="34" t="n">
        <x:v>48</x:v>
      </x:c>
      <x:c r="E522" s="34" t="str">
        <x:v>BrEnnD</x:v>
      </x:c>
      <x:c r="F522" s="34" t="n">
        <x:v>11139</x:v>
      </x:c>
      <x:c r="G522" s="35" t="n">
        <x:f>IF(C522=0,0,F522/C522*B522)</x:f>
        <x:v>43.872080446969065</x:v>
      </x:c>
    </x:row>
    <x:row r="523">
      <x:c r="A523" s="33" t="str">
        <x:v>Coleta Black</x:v>
      </x:c>
      <x:c r="B523" s="34" t="n">
        <x:v>7600</x:v>
      </x:c>
      <x:c r="C523" s="34" t="n">
        <x:v>1929619</x:v>
      </x:c>
      <x:c r="D523" s="34" t="n">
        <x:v>49</x:v>
      </x:c>
      <x:c r="E523" s="34" t="str">
        <x:v>IIIIIIIIIII</x:v>
      </x:c>
      <x:c r="F523" s="34" t="n">
        <x:v>10899</x:v>
      </x:c>
      <x:c r="G523" s="35" t="n">
        <x:f>IF(C523=0,0,F523/C523*B523)</x:f>
        <x:v>42.92681612276827</x:v>
      </x:c>
    </x:row>
    <x:row r="524">
      <x:c r="A524" s="33" t="str">
        <x:v>Coleta Black</x:v>
      </x:c>
      <x:c r="B524" s="34" t="n">
        <x:v>7600</x:v>
      </x:c>
      <x:c r="C524" s="34" t="n">
        <x:v>1929619</x:v>
      </x:c>
      <x:c r="D524" s="34" t="n">
        <x:v>50</x:v>
      </x:c>
      <x:c r="E524" s="34" t="str">
        <x:v>Lamusk</x:v>
      </x:c>
      <x:c r="F524" s="34" t="n">
        <x:v>9741</x:v>
      </x:c>
      <x:c r="G524" s="35" t="n">
        <x:f>IF(C524=0,0,F524/C524*B524)</x:f>
        <x:v>38.365915758499476</x:v>
      </x:c>
    </x:row>
    <x:row r="525">
      <x:c r="A525" s="33" t="str">
        <x:v>Coleta Black</x:v>
      </x:c>
      <x:c r="B525" s="34" t="n">
        <x:v>7600</x:v>
      </x:c>
      <x:c r="C525" s="34" t="n">
        <x:v>1929619</x:v>
      </x:c>
      <x:c r="D525" s="34" t="n">
        <x:v>51</x:v>
      </x:c>
      <x:c r="E525" s="34" t="str">
        <x:v>Dorfiuses</x:v>
      </x:c>
      <x:c r="F525" s="34" t="n">
        <x:v>9630</x:v>
      </x:c>
      <x:c r="G525" s="35" t="n">
        <x:f>IF(C525=0,0,F525/C525*B525)</x:f>
        <x:v>37.92873100855661</x:v>
      </x:c>
    </x:row>
    <x:row r="526">
      <x:c r="A526" s="33" t="str">
        <x:v>Coleta Black</x:v>
      </x:c>
      <x:c r="B526" s="34" t="n">
        <x:v>7600</x:v>
      </x:c>
      <x:c r="C526" s="34" t="n">
        <x:v>1929619</x:v>
      </x:c>
      <x:c r="D526" s="34" t="n">
        <x:v>52</x:v>
      </x:c>
      <x:c r="E526" s="34" t="str">
        <x:v>Yuangii</x:v>
      </x:c>
      <x:c r="F526" s="34" t="n">
        <x:v>9247</x:v>
      </x:c>
      <x:c r="G526" s="35" t="n">
        <x:f>IF(C526=0,0,F526/C526*B526)</x:f>
        <x:v>36.42024669118619</x:v>
      </x:c>
    </x:row>
    <x:row r="527">
      <x:c r="A527" s="33" t="str">
        <x:v>Coleta Black</x:v>
      </x:c>
      <x:c r="B527" s="34" t="n">
        <x:v>7600</x:v>
      </x:c>
      <x:c r="C527" s="34" t="n">
        <x:v>1929619</x:v>
      </x:c>
      <x:c r="D527" s="34" t="n">
        <x:v>53</x:v>
      </x:c>
      <x:c r="E527" s="34" t="str">
        <x:v>MonetaryMike</x:v>
      </x:c>
      <x:c r="F527" s="34" t="n">
        <x:v>8898</x:v>
      </x:c>
      <x:c r="G527" s="35" t="n">
        <x:f>IF(C527=0,0,F527/C527*B527)</x:f>
        <x:v>35.04567481974421</x:v>
      </x:c>
    </x:row>
    <x:row r="528">
      <x:c r="A528" s="33" t="str">
        <x:v>Coleta Black</x:v>
      </x:c>
      <x:c r="B528" s="34" t="n">
        <x:v>7600</x:v>
      </x:c>
      <x:c r="C528" s="34" t="n">
        <x:v>1929619</x:v>
      </x:c>
      <x:c r="D528" s="34" t="n">
        <x:v>54</x:v>
      </x:c>
      <x:c r="E528" s="34" t="str">
        <x:v>Cominhos</x:v>
      </x:c>
      <x:c r="F528" s="34" t="n">
        <x:v>8751</x:v>
      </x:c>
      <x:c r="G528" s="35" t="n">
        <x:f>IF(C528=0,0,F528/C528*B528)</x:f>
        <x:v>34.466700421171225</x:v>
      </x:c>
    </x:row>
    <x:row r="529">
      <x:c r="A529" s="33" t="str">
        <x:v>Coleta Black</x:v>
      </x:c>
      <x:c r="B529" s="34" t="n">
        <x:v>7600</x:v>
      </x:c>
      <x:c r="C529" s="34" t="n">
        <x:v>1929619</x:v>
      </x:c>
      <x:c r="D529" s="34" t="n">
        <x:v>55</x:v>
      </x:c>
      <x:c r="E529" s="34" t="str">
        <x:v>jordansPt</x:v>
      </x:c>
      <x:c r="F529" s="34" t="n">
        <x:v>8542</x:v>
      </x:c>
      <x:c r="G529" s="35" t="n">
        <x:f>IF(C529=0,0,F529/C529*B529)</x:f>
        <x:v>33.643532738846375</x:v>
      </x:c>
    </x:row>
    <x:row r="530">
      <x:c r="A530" s="33" t="str">
        <x:v>Coleta Black</x:v>
      </x:c>
      <x:c r="B530" s="34" t="n">
        <x:v>7600</x:v>
      </x:c>
      <x:c r="C530" s="34" t="n">
        <x:v>1929619</x:v>
      </x:c>
      <x:c r="D530" s="34" t="n">
        <x:v>56</x:v>
      </x:c>
      <x:c r="E530" s="34" t="str">
        <x:v>theYousek</x:v>
      </x:c>
      <x:c r="F530" s="34" t="n">
        <x:v>8441</x:v>
      </x:c>
      <x:c r="G530" s="35" t="n">
        <x:f>IF(C530=0,0,F530/C530*B530)</x:f>
        <x:v>33.24573400241188</x:v>
      </x:c>
    </x:row>
    <x:row r="531">
      <x:c r="A531" s="33" t="str">
        <x:v>Coleta Black</x:v>
      </x:c>
      <x:c r="B531" s="34" t="n">
        <x:v>7600</x:v>
      </x:c>
      <x:c r="C531" s="34" t="n">
        <x:v>1929619</x:v>
      </x:c>
      <x:c r="D531" s="34" t="n">
        <x:v>57</x:v>
      </x:c>
      <x:c r="E531" s="34" t="str">
        <x:v>EBMonarca</x:v>
      </x:c>
      <x:c r="F531" s="34" t="n">
        <x:v>8413</x:v>
      </x:c>
      <x:c r="G531" s="35" t="n">
        <x:f>IF(C531=0,0,F531/C531*B531)</x:f>
        <x:v>33.13545316458845</x:v>
      </x:c>
    </x:row>
    <x:row r="532">
      <x:c r="A532" s="33" t="str">
        <x:v>Coleta Black</x:v>
      </x:c>
      <x:c r="B532" s="34" t="n">
        <x:v>7600</x:v>
      </x:c>
      <x:c r="C532" s="34" t="n">
        <x:v>1929619</x:v>
      </x:c>
      <x:c r="D532" s="34" t="n">
        <x:v>58</x:v>
      </x:c>
      <x:c r="E532" s="34" t="str">
        <x:v>Merlinavo</x:v>
      </x:c>
      <x:c r="F532" s="34" t="n">
        <x:v>8127</x:v>
      </x:c>
      <x:c r="G532" s="35" t="n">
        <x:f>IF(C532=0,0,F532/C532*B532)</x:f>
        <x:v>32.009013178249184</x:v>
      </x:c>
    </x:row>
    <x:row r="533">
      <x:c r="A533" s="33" t="str">
        <x:v>Coleta Black</x:v>
      </x:c>
      <x:c r="B533" s="34" t="n">
        <x:v>7600</x:v>
      </x:c>
      <x:c r="C533" s="34" t="n">
        <x:v>1929619</x:v>
      </x:c>
      <x:c r="D533" s="34" t="n">
        <x:v>59</x:v>
      </x:c>
      <x:c r="E533" s="34" t="str">
        <x:v>Patiinhas</x:v>
      </x:c>
      <x:c r="F533" s="34" t="n">
        <x:v>7989</x:v>
      </x:c>
      <x:c r="G533" s="35" t="n">
        <x:f>IF(C533=0,0,F533/C533*B533)</x:f>
        <x:v>31.465486191833726</x:v>
      </x:c>
    </x:row>
    <x:row r="534">
      <x:c r="A534" s="33" t="str">
        <x:v>Coleta Black</x:v>
      </x:c>
      <x:c r="B534" s="34" t="n">
        <x:v>7600</x:v>
      </x:c>
      <x:c r="C534" s="34" t="n">
        <x:v>1929619</x:v>
      </x:c>
      <x:c r="D534" s="34" t="n">
        <x:v>60</x:v>
      </x:c>
      <x:c r="E534" s="34" t="str">
        <x:v>Jabiroca1</x:v>
      </x:c>
      <x:c r="F534" s="34" t="n">
        <x:v>6569</x:v>
      </x:c>
      <x:c r="G534" s="35" t="n">
        <x:f>IF(C534=0,0,F534/C534*B534)</x:f>
        <x:v>25.87267227364573</x:v>
      </x:c>
    </x:row>
    <x:row r="535">
      <x:c r="A535" s="33" t="str">
        <x:v>Coleta Black</x:v>
      </x:c>
      <x:c r="B535" s="34" t="n">
        <x:v>7600</x:v>
      </x:c>
      <x:c r="C535" s="34" t="n">
        <x:v>1929619</x:v>
      </x:c>
      <x:c r="D535" s="34" t="n">
        <x:v>61</x:v>
      </x:c>
      <x:c r="E535" s="34" t="str">
        <x:v>KatarinaSemC</x:v>
      </x:c>
      <x:c r="F535" s="34" t="n">
        <x:v>6485</x:v>
      </x:c>
      <x:c r="G535" s="35" t="n">
        <x:f>IF(C535=0,0,F535/C535*B535)</x:f>
        <x:v>25.541829760175453</x:v>
      </x:c>
    </x:row>
    <x:row r="536">
      <x:c r="A536" s="33" t="str">
        <x:v>Coleta Black</x:v>
      </x:c>
      <x:c r="B536" s="34" t="n">
        <x:v>7600</x:v>
      </x:c>
      <x:c r="C536" s="34" t="n">
        <x:v>1929619</x:v>
      </x:c>
      <x:c r="D536" s="34" t="n">
        <x:v>62</x:v>
      </x:c>
      <x:c r="E536" s="34" t="str">
        <x:v>Tuga95</x:v>
      </x:c>
      <x:c r="F536" s="34" t="n">
        <x:v>4973</x:v>
      </x:c>
      <x:c r="G536" s="35" t="n">
        <x:f>IF(C536=0,0,F536/C536*B536)</x:f>
        <x:v>19.586664517710492</x:v>
      </x:c>
    </x:row>
    <x:row r="537">
      <x:c r="A537" s="33" t="str">
        <x:v>Coleta Black</x:v>
      </x:c>
      <x:c r="B537" s="34" t="n">
        <x:v>7600</x:v>
      </x:c>
      <x:c r="C537" s="34" t="n">
        <x:v>1929619</x:v>
      </x:c>
      <x:c r="D537" s="34" t="n">
        <x:v>63</x:v>
      </x:c>
      <x:c r="E537" s="34" t="str">
        <x:v>Kuntakint</x:v>
      </x:c>
      <x:c r="F537" s="34" t="n">
        <x:v>4437</x:v>
      </x:c>
      <x:c r="G537" s="35" t="n">
        <x:f>IF(C537=0,0,F537/C537*B537)</x:f>
        <x:v>17.475574193662066</x:v>
      </x:c>
    </x:row>
    <x:row r="538">
      <x:c r="A538" s="33" t="str">
        <x:v>Coleta Black</x:v>
      </x:c>
      <x:c r="B538" s="34" t="n">
        <x:v>7600</x:v>
      </x:c>
      <x:c r="C538" s="34" t="n">
        <x:v>1929619</x:v>
      </x:c>
      <x:c r="D538" s="34" t="n">
        <x:v>64</x:v>
      </x:c>
      <x:c r="E538" s="34" t="str">
        <x:v>MatMac</x:v>
      </x:c>
      <x:c r="F538" s="34" t="n">
        <x:v>4323</x:v>
      </x:c>
      <x:c r="G538" s="35" t="n">
        <x:f>IF(C538=0,0,F538/C538*B538)</x:f>
        <x:v>17.02657363966669</x:v>
      </x:c>
    </x:row>
    <x:row r="539">
      <x:c r="A539" s="33" t="str">
        <x:v>Coleta Black</x:v>
      </x:c>
      <x:c r="B539" s="34" t="n">
        <x:v>7600</x:v>
      </x:c>
      <x:c r="C539" s="34" t="n">
        <x:v>1929619</x:v>
      </x:c>
      <x:c r="D539" s="34" t="n">
        <x:v>65</x:v>
      </x:c>
      <x:c r="E539" s="34" t="str">
        <x:v>Natsury</x:v>
      </x:c>
      <x:c r="F539" s="34" t="n">
        <x:v>4265</x:v>
      </x:c>
      <x:c r="G539" s="35" t="n">
        <x:f>IF(C539=0,0,F539/C539*B539)</x:f>
        <x:v>16.798134761318167</x:v>
      </x:c>
    </x:row>
    <x:row r="540">
      <x:c r="A540" s="33" t="str">
        <x:v>Coleta Black</x:v>
      </x:c>
      <x:c r="B540" s="34" t="n">
        <x:v>7600</x:v>
      </x:c>
      <x:c r="C540" s="34" t="n">
        <x:v>1929619</x:v>
      </x:c>
      <x:c r="D540" s="34" t="n">
        <x:v>66</x:v>
      </x:c>
      <x:c r="E540" s="34" t="str">
        <x:v>3YS4N</x:v>
      </x:c>
      <x:c r="F540" s="34" t="n">
        <x:v>3899</x:v>
      </x:c>
      <x:c r="G540" s="35" t="n">
        <x:f>IF(C540=0,0,F540/C540*B540)</x:f>
        <x:v>15.356606666911965</x:v>
      </x:c>
    </x:row>
    <x:row r="541">
      <x:c r="A541" s="33" t="str">
        <x:v>Coleta Black</x:v>
      </x:c>
      <x:c r="B541" s="34" t="n">
        <x:v>7600</x:v>
      </x:c>
      <x:c r="C541" s="34" t="n">
        <x:v>1929619</x:v>
      </x:c>
      <x:c r="D541" s="34" t="n">
        <x:v>67</x:v>
      </x:c>
      <x:c r="E541" s="34" t="str">
        <x:v>Reguilla</x:v>
      </x:c>
      <x:c r="F541" s="34" t="n">
        <x:v>3707</x:v>
      </x:c>
      <x:c r="G541" s="35" t="n">
        <x:f>IF(C541=0,0,F541/C541*B541)</x:f>
        <x:v>14.600395207551335</x:v>
      </x:c>
    </x:row>
    <x:row r="542">
      <x:c r="A542" s="33" t="str">
        <x:v>Coleta Black</x:v>
      </x:c>
      <x:c r="B542" s="34" t="n">
        <x:v>7600</x:v>
      </x:c>
      <x:c r="C542" s="34" t="n">
        <x:v>1929619</x:v>
      </x:c>
      <x:c r="D542" s="34" t="n">
        <x:v>68</x:v>
      </x:c>
      <x:c r="E542" s="34" t="str">
        <x:v>jrfate</x:v>
      </x:c>
      <x:c r="F542" s="34" t="n">
        <x:v>3468</x:v>
      </x:c>
      <x:c r="G542" s="35" t="n">
        <x:f>IF(C542=0,0,F542/C542*B542)</x:f>
        <x:v>13.659069484701384</x:v>
      </x:c>
    </x:row>
    <x:row r="543">
      <x:c r="A543" s="33" t="str">
        <x:v>Coleta Black</x:v>
      </x:c>
      <x:c r="B543" s="34" t="n">
        <x:v>7600</x:v>
      </x:c>
      <x:c r="C543" s="34" t="n">
        <x:v>1929619</x:v>
      </x:c>
      <x:c r="D543" s="34" t="n">
        <x:v>69</x:v>
      </x:c>
      <x:c r="E543" s="34" t="str">
        <x:v>Lostmothers</x:v>
      </x:c>
      <x:c r="F543" s="34" t="n">
        <x:v>3467</x:v>
      </x:c>
      <x:c r="G543" s="35" t="n">
        <x:f>IF(C543=0,0,F543/C543*B543)</x:f>
        <x:v>13.655130883350546</x:v>
      </x:c>
    </x:row>
    <x:row r="544">
      <x:c r="A544" s="33" t="str">
        <x:v>Coleta Black</x:v>
      </x:c>
      <x:c r="B544" s="34" t="n">
        <x:v>7600</x:v>
      </x:c>
      <x:c r="C544" s="34" t="n">
        <x:v>1929619</x:v>
      </x:c>
      <x:c r="D544" s="34" t="n">
        <x:v>70</x:v>
      </x:c>
      <x:c r="E544" s="34" t="str">
        <x:v>Rammstein</x:v>
      </x:c>
      <x:c r="F544" s="34" t="n">
        <x:v>3155</x:v>
      </x:c>
      <x:c r="G544" s="35" t="n">
        <x:f>IF(C544=0,0,F544/C544*B544)</x:f>
        <x:v>12.426287261889524</x:v>
      </x:c>
    </x:row>
    <x:row r="545">
      <x:c r="A545" s="33" t="str">
        <x:v>Coleta Black</x:v>
      </x:c>
      <x:c r="B545" s="34" t="n">
        <x:v>7600</x:v>
      </x:c>
      <x:c r="C545" s="34" t="n">
        <x:v>1929619</x:v>
      </x:c>
      <x:c r="D545" s="34" t="n">
        <x:v>71</x:v>
      </x:c>
      <x:c r="E545" s="34" t="str">
        <x:v>Warm4m</x:v>
      </x:c>
      <x:c r="F545" s="34" t="n">
        <x:v>2956</x:v>
      </x:c>
      <x:c r="G545" s="35" t="n">
        <x:f>IF(C545=0,0,F545/C545*B545)</x:f>
        <x:v>11.642505593073036</x:v>
      </x:c>
    </x:row>
    <x:row r="546">
      <x:c r="A546" s="33" t="str">
        <x:v>Coleta Black</x:v>
      </x:c>
      <x:c r="B546" s="34" t="n">
        <x:v>7600</x:v>
      </x:c>
      <x:c r="C546" s="34" t="n">
        <x:v>1929619</x:v>
      </x:c>
      <x:c r="D546" s="34" t="n">
        <x:v>72</x:v>
      </x:c>
      <x:c r="E546" s="34" t="str">
        <x:v>MissyPT</x:v>
      </x:c>
      <x:c r="F546" s="34" t="n">
        <x:v>2917</x:v>
      </x:c>
      <x:c r="G546" s="35" t="n">
        <x:f>IF(C546=0,0,F546/C546*B546)</x:f>
        <x:v>11.488900140390408</x:v>
      </x:c>
    </x:row>
    <x:row r="547">
      <x:c r="A547" s="33" t="str">
        <x:v>Coleta Black</x:v>
      </x:c>
      <x:c r="B547" s="34" t="n">
        <x:v>7600</x:v>
      </x:c>
      <x:c r="C547" s="34" t="n">
        <x:v>1929619</x:v>
      </x:c>
      <x:c r="D547" s="34" t="n">
        <x:v>73</x:v>
      </x:c>
      <x:c r="E547" s="34" t="str">
        <x:v>VULTO</x:v>
      </x:c>
      <x:c r="F547" s="34" t="n">
        <x:v>2809</x:v>
      </x:c>
      <x:c r="G547" s="35" t="n">
        <x:f>IF(C547=0,0,F547/C547*B547)</x:f>
        <x:v>11.063531194500055</x:v>
      </x:c>
    </x:row>
    <x:row r="548">
      <x:c r="A548" s="33" t="str">
        <x:v>Coleta Black</x:v>
      </x:c>
      <x:c r="B548" s="34" t="n">
        <x:v>7600</x:v>
      </x:c>
      <x:c r="C548" s="34" t="n">
        <x:v>1929619</x:v>
      </x:c>
      <x:c r="D548" s="34" t="n">
        <x:v>74</x:v>
      </x:c>
      <x:c r="E548" s="34" t="str">
        <x:v>Djwd</x:v>
      </x:c>
      <x:c r="F548" s="34" t="n">
        <x:v>2634</x:v>
      </x:c>
      <x:c r="G548" s="35" t="n">
        <x:f>IF(C548=0,0,F548/C548*B548)</x:f>
        <x:v>10.374275958103647</x:v>
      </x:c>
    </x:row>
    <x:row r="549">
      <x:c r="A549" s="33" t="str">
        <x:v>Coleta Black</x:v>
      </x:c>
      <x:c r="B549" s="34" t="n">
        <x:v>7600</x:v>
      </x:c>
      <x:c r="C549" s="34" t="n">
        <x:v>1929619</x:v>
      </x:c>
      <x:c r="D549" s="34" t="n">
        <x:v>75</x:v>
      </x:c>
      <x:c r="E549" s="34" t="str">
        <x:v>Akuma1000</x:v>
      </x:c>
      <x:c r="F549" s="34" t="n">
        <x:v>2498</x:v>
      </x:c>
      <x:c r="G549" s="35" t="n">
        <x:f>IF(C549=0,0,F549/C549*B549)</x:f>
        <x:v>9.838626174389866</x:v>
      </x:c>
    </x:row>
    <x:row r="550">
      <x:c r="A550" s="33" t="str">
        <x:v>Coleta Black</x:v>
      </x:c>
      <x:c r="B550" s="34" t="n">
        <x:v>7600</x:v>
      </x:c>
      <x:c r="C550" s="34" t="n">
        <x:v>1929619</x:v>
      </x:c>
      <x:c r="D550" s="34" t="n">
        <x:v>76</x:v>
      </x:c>
      <x:c r="E550" s="34" t="str">
        <x:v>ROLEPLAY</x:v>
      </x:c>
      <x:c r="F550" s="34" t="n">
        <x:v>2231</x:v>
      </x:c>
      <x:c r="G550" s="35" t="n">
        <x:f>IF(C550=0,0,F550/C550*B550)</x:f>
        <x:v>8.78701961371649</x:v>
      </x:c>
    </x:row>
    <x:row r="551">
      <x:c r="A551" s="33" t="str">
        <x:v>Coleta Black</x:v>
      </x:c>
      <x:c r="B551" s="34" t="n">
        <x:v>7600</x:v>
      </x:c>
      <x:c r="C551" s="34" t="n">
        <x:v>1929619</x:v>
      </x:c>
      <x:c r="D551" s="34" t="n">
        <x:v>77</x:v>
      </x:c>
      <x:c r="E551" s="34" t="str">
        <x:v>FullTime</x:v>
      </x:c>
      <x:c r="F551" s="34" t="n">
        <x:v>2199</x:v>
      </x:c>
      <x:c r="G551" s="35" t="n">
        <x:f>IF(C551=0,0,F551/C551*B551)</x:f>
        <x:v>8.660984370489718</x:v>
      </x:c>
    </x:row>
    <x:row r="552">
      <x:c r="A552" s="33" t="str">
        <x:v>Coleta Black</x:v>
      </x:c>
      <x:c r="B552" s="34" t="n">
        <x:v>7600</x:v>
      </x:c>
      <x:c r="C552" s="34" t="n">
        <x:v>1929619</x:v>
      </x:c>
      <x:c r="D552" s="34" t="n">
        <x:v>78</x:v>
      </x:c>
      <x:c r="E552" s="34" t="str">
        <x:v>NevesxC</x:v>
      </x:c>
      <x:c r="F552" s="34" t="n">
        <x:v>1982</x:v>
      </x:c>
      <x:c r="G552" s="35" t="n">
        <x:f>IF(C552=0,0,F552/C552*B552)</x:f>
        <x:v>7.806307877358173</x:v>
      </x:c>
    </x:row>
    <x:row r="553">
      <x:c r="A553" s="33" t="str">
        <x:v>Coleta Black</x:v>
      </x:c>
      <x:c r="B553" s="34" t="n">
        <x:v>7600</x:v>
      </x:c>
      <x:c r="C553" s="34" t="n">
        <x:v>1929619</x:v>
      </x:c>
      <x:c r="D553" s="34" t="n">
        <x:v>79</x:v>
      </x:c>
      <x:c r="E553" s="34" t="str">
        <x:v>Temperamental</x:v>
      </x:c>
      <x:c r="F553" s="34" t="n">
        <x:v>1964</x:v>
      </x:c>
      <x:c r="G553" s="35" t="n">
        <x:f>IF(C553=0,0,F553/C553*B553)</x:f>
        <x:v>7.735413053043113</x:v>
      </x:c>
    </x:row>
    <x:row r="554">
      <x:c r="A554" s="33" t="str">
        <x:v>Coleta Black</x:v>
      </x:c>
      <x:c r="B554" s="34" t="n">
        <x:v>7600</x:v>
      </x:c>
      <x:c r="C554" s="34" t="n">
        <x:v>1929619</x:v>
      </x:c>
      <x:c r="D554" s="34" t="n">
        <x:v>80</x:v>
      </x:c>
      <x:c r="E554" s="34" t="str">
        <x:v>Nandixx</x:v>
      </x:c>
      <x:c r="F554" s="34" t="n">
        <x:v>1958</x:v>
      </x:c>
      <x:c r="G554" s="35" t="n">
        <x:f>IF(C554=0,0,F554/C554*B554)</x:f>
        <x:v>7.711781444938094</x:v>
      </x:c>
    </x:row>
    <x:row r="555">
      <x:c r="A555" s="33" t="str">
        <x:v>Coleta Black</x:v>
      </x:c>
      <x:c r="B555" s="34" t="n">
        <x:v>7600</x:v>
      </x:c>
      <x:c r="C555" s="34" t="n">
        <x:v>1929619</x:v>
      </x:c>
      <x:c r="D555" s="34" t="n">
        <x:v>81</x:v>
      </x:c>
      <x:c r="E555" s="34" t="str">
        <x:v>teessa</x:v>
      </x:c>
      <x:c r="F555" s="34" t="n">
        <x:v>1944</x:v>
      </x:c>
      <x:c r="G555" s="35" t="n">
        <x:f>IF(C555=0,0,F555/C555*B555)</x:f>
        <x:v>7.656641026026382</x:v>
      </x:c>
    </x:row>
    <x:row r="556">
      <x:c r="A556" s="33" t="str">
        <x:v>Coleta Black</x:v>
      </x:c>
      <x:c r="B556" s="34" t="n">
        <x:v>7600</x:v>
      </x:c>
      <x:c r="C556" s="34" t="n">
        <x:v>1929619</x:v>
      </x:c>
      <x:c r="D556" s="34" t="n">
        <x:v>82</x:v>
      </x:c>
      <x:c r="E556" s="34" t="str">
        <x:v>LuiziN</x:v>
      </x:c>
      <x:c r="F556" s="34" t="n">
        <x:v>1917</x:v>
      </x:c>
      <x:c r="G556" s="35" t="n">
        <x:f>IF(C556=0,0,F556/C556*B556)</x:f>
        <x:v>7.550298789553793</x:v>
      </x:c>
    </x:row>
    <x:row r="557">
      <x:c r="A557" s="33" t="str">
        <x:v>Coleta Black</x:v>
      </x:c>
      <x:c r="B557" s="34" t="n">
        <x:v>7600</x:v>
      </x:c>
      <x:c r="C557" s="34" t="n">
        <x:v>1929619</x:v>
      </x:c>
      <x:c r="D557" s="34" t="n">
        <x:v>83</x:v>
      </x:c>
      <x:c r="E557" s="34" t="str">
        <x:v>morrty</x:v>
      </x:c>
      <x:c r="F557" s="34" t="n">
        <x:v>1909</x:v>
      </x:c>
      <x:c r="G557" s="35" t="n">
        <x:f>IF(C557=0,0,F557/C557*B557)</x:f>
        <x:v>7.5187899787471</x:v>
      </x:c>
    </x:row>
    <x:row r="558">
      <x:c r="A558" s="33" t="str">
        <x:v>Coleta Black</x:v>
      </x:c>
      <x:c r="B558" s="34" t="n">
        <x:v>7600</x:v>
      </x:c>
      <x:c r="C558" s="34" t="n">
        <x:v>1929619</x:v>
      </x:c>
      <x:c r="D558" s="34" t="n">
        <x:v>84</x:v>
      </x:c>
      <x:c r="E558" s="34" t="str">
        <x:v>leonekilua</x:v>
      </x:c>
      <x:c r="F558" s="34" t="n">
        <x:v>1857</x:v>
      </x:c>
      <x:c r="G558" s="35" t="n">
        <x:f>IF(C558=0,0,F558/C558*B558)</x:f>
        <x:v>7.313982708503596</x:v>
      </x:c>
    </x:row>
    <x:row r="559">
      <x:c r="A559" s="33" t="str">
        <x:v>Coleta Black</x:v>
      </x:c>
      <x:c r="B559" s="34" t="n">
        <x:v>7600</x:v>
      </x:c>
      <x:c r="C559" s="34" t="n">
        <x:v>1929619</x:v>
      </x:c>
      <x:c r="D559" s="34" t="n">
        <x:v>85</x:v>
      </x:c>
      <x:c r="E559" s="34" t="str">
        <x:v>LipeFuab</x:v>
      </x:c>
      <x:c r="F559" s="34" t="n">
        <x:v>1733</x:v>
      </x:c>
      <x:c r="G559" s="35" t="n">
        <x:f>IF(C559=0,0,F559/C559*B559)</x:f>
        <x:v>6.825596140999855</x:v>
      </x:c>
    </x:row>
    <x:row r="560">
      <x:c r="A560" s="33" t="str">
        <x:v>Coleta Black</x:v>
      </x:c>
      <x:c r="B560" s="34" t="n">
        <x:v>7600</x:v>
      </x:c>
      <x:c r="C560" s="34" t="n">
        <x:v>1929619</x:v>
      </x:c>
      <x:c r="D560" s="34" t="n">
        <x:v>86</x:v>
      </x:c>
      <x:c r="E560" s="34" t="str">
        <x:v>vadisley</x:v>
      </x:c>
      <x:c r="F560" s="34" t="n">
        <x:v>1536</x:v>
      </x:c>
      <x:c r="G560" s="35" t="n">
        <x:f>IF(C560=0,0,F560/C560*B560)</x:f>
        <x:v>6.049691674885042</x:v>
      </x:c>
    </x:row>
    <x:row r="561">
      <x:c r="A561" s="33" t="str">
        <x:v>Coleta Black</x:v>
      </x:c>
      <x:c r="B561" s="34" t="n">
        <x:v>7600</x:v>
      </x:c>
      <x:c r="C561" s="34" t="n">
        <x:v>1929619</x:v>
      </x:c>
      <x:c r="D561" s="34" t="n">
        <x:v>87</x:v>
      </x:c>
      <x:c r="E561" s="34" t="str">
        <x:v>Chuckzerah</x:v>
      </x:c>
      <x:c r="F561" s="34" t="n">
        <x:v>1389</x:v>
      </x:c>
      <x:c r="G561" s="35" t="n">
        <x:f>IF(C561=0,0,F561/C561*B561)</x:f>
        <x:v>5.47071727631206</x:v>
      </x:c>
    </x:row>
    <x:row r="562">
      <x:c r="A562" s="33" t="str">
        <x:v>Coleta Black</x:v>
      </x:c>
      <x:c r="B562" s="34" t="n">
        <x:v>7600</x:v>
      </x:c>
      <x:c r="C562" s="34" t="n">
        <x:v>1929619</x:v>
      </x:c>
      <x:c r="D562" s="34" t="n">
        <x:v>88</x:v>
      </x:c>
      <x:c r="E562" s="34" t="str">
        <x:v>MineMim</x:v>
      </x:c>
      <x:c r="F562" s="34" t="n">
        <x:v>1205</x:v>
      </x:c>
      <x:c r="G562" s="35" t="n">
        <x:f>IF(C562=0,0,F562/C562*B562)</x:f>
        <x:v>4.7460146277581226</x:v>
      </x:c>
    </x:row>
    <x:row r="563">
      <x:c r="A563" s="33" t="str">
        <x:v>Coleta Black</x:v>
      </x:c>
      <x:c r="B563" s="34" t="n">
        <x:v>7600</x:v>
      </x:c>
      <x:c r="C563" s="34" t="n">
        <x:v>1929619</x:v>
      </x:c>
      <x:c r="D563" s="34" t="n">
        <x:v>89</x:v>
      </x:c>
      <x:c r="E563" s="34" t="str">
        <x:v>julioczr</x:v>
      </x:c>
      <x:c r="F563" s="34" t="n">
        <x:v>1109</x:v>
      </x:c>
      <x:c r="G563" s="35" t="n">
        <x:f>IF(C563=0,0,F563/C563*B563)</x:f>
        <x:v>4.367908898077807</x:v>
      </x:c>
    </x:row>
    <x:row r="564">
      <x:c r="A564" s="33" t="str">
        <x:v>Coleta Black</x:v>
      </x:c>
      <x:c r="B564" s="34" t="n">
        <x:v>7600</x:v>
      </x:c>
      <x:c r="C564" s="34" t="n">
        <x:v>1929619</x:v>
      </x:c>
      <x:c r="D564" s="34" t="n">
        <x:v>90</x:v>
      </x:c>
      <x:c r="E564" s="34" t="str">
        <x:v>BrunoAnulino</x:v>
      </x:c>
      <x:c r="F564" s="34" t="n">
        <x:v>1008</x:v>
      </x:c>
      <x:c r="G564" s="35" t="n">
        <x:f>IF(C564=0,0,F564/C564*B564)</x:f>
        <x:v>3.970110161643309</x:v>
      </x:c>
    </x:row>
    <x:row r="565">
      <x:c r="A565" s="33" t="str">
        <x:v>Coleta Black</x:v>
      </x:c>
      <x:c r="B565" s="34" t="n">
        <x:v>7600</x:v>
      </x:c>
      <x:c r="C565" s="34" t="n">
        <x:v>1929619</x:v>
      </x:c>
      <x:c r="D565" s="34" t="n">
        <x:v>91</x:v>
      </x:c>
      <x:c r="E565" s="34" t="str">
        <x:v>WellITKD</x:v>
      </x:c>
      <x:c r="F565" s="34" t="n">
        <x:v>1002</x:v>
      </x:c>
      <x:c r="G565" s="35" t="n">
        <x:f>IF(C565=0,0,F565/C565*B565)</x:f>
        <x:v>3.9464785535382894</x:v>
      </x:c>
    </x:row>
    <x:row r="566">
      <x:c r="A566" s="33" t="str">
        <x:v>Coleta Black</x:v>
      </x:c>
      <x:c r="B566" s="34" t="n">
        <x:v>7600</x:v>
      </x:c>
      <x:c r="C566" s="34" t="n">
        <x:v>1929619</x:v>
      </x:c>
      <x:c r="D566" s="34" t="n">
        <x:v>92</x:v>
      </x:c>
      <x:c r="E566" s="34" t="str">
        <x:v>VnfaTI</x:v>
      </x:c>
      <x:c r="F566" s="34" t="n">
        <x:v>946</x:v>
      </x:c>
      <x:c r="G566" s="35" t="n">
        <x:f>IF(C566=0,0,F566/C566*B566)</x:f>
        <x:v>3.725916877891439</x:v>
      </x:c>
    </x:row>
    <x:row r="567">
      <x:c r="A567" s="33" t="str">
        <x:v>Coleta Black</x:v>
      </x:c>
      <x:c r="B567" s="34" t="n">
        <x:v>7600</x:v>
      </x:c>
      <x:c r="C567" s="34" t="n">
        <x:v>1929619</x:v>
      </x:c>
      <x:c r="D567" s="34" t="n">
        <x:v>93</x:v>
      </x:c>
      <x:c r="E567" s="34" t="str">
        <x:v>XIShanksXI</x:v>
      </x:c>
      <x:c r="F567" s="34" t="n">
        <x:v>815</x:v>
      </x:c>
      <x:c r="G567" s="35" t="n">
        <x:f>IF(C567=0,0,F567/C567*B567)</x:f>
        <x:v>3.209960100931842</x:v>
      </x:c>
    </x:row>
    <x:row r="568">
      <x:c r="A568" s="33" t="str">
        <x:v>Coleta Black</x:v>
      </x:c>
      <x:c r="B568" s="34" t="n">
        <x:v>7600</x:v>
      </x:c>
      <x:c r="C568" s="34" t="n">
        <x:v>1929619</x:v>
      </x:c>
      <x:c r="D568" s="34" t="n">
        <x:v>94</x:v>
      </x:c>
      <x:c r="E568" s="34" t="str">
        <x:v>BigKaHuNa</x:v>
      </x:c>
      <x:c r="F568" s="34" t="n">
        <x:v>810</x:v>
      </x:c>
      <x:c r="G568" s="35" t="n">
        <x:f>IF(C568=0,0,F568/C568*B568)</x:f>
        <x:v>3.1902670941776585</x:v>
      </x:c>
    </x:row>
    <x:row r="569">
      <x:c r="A569" s="33" t="str">
        <x:v>Coleta Black</x:v>
      </x:c>
      <x:c r="B569" s="34" t="n">
        <x:v>7600</x:v>
      </x:c>
      <x:c r="C569" s="34" t="n">
        <x:v>1929619</x:v>
      </x:c>
      <x:c r="D569" s="34" t="n">
        <x:v>95</x:v>
      </x:c>
      <x:c r="E569" s="34" t="str">
        <x:v>gugaboss</x:v>
      </x:c>
      <x:c r="F569" s="34" t="n">
        <x:v>786</x:v>
      </x:c>
      <x:c r="G569" s="35" t="n">
        <x:f>IF(C569=0,0,F569/C569*B569)</x:f>
        <x:v>3.09574066175758</x:v>
      </x:c>
    </x:row>
    <x:row r="570">
      <x:c r="A570" s="33" t="str">
        <x:v>Coleta Black</x:v>
      </x:c>
      <x:c r="B570" s="34" t="n">
        <x:v>7600</x:v>
      </x:c>
      <x:c r="C570" s="34" t="n">
        <x:v>1929619</x:v>
      </x:c>
      <x:c r="D570" s="34" t="n">
        <x:v>96</x:v>
      </x:c>
      <x:c r="E570" s="34" t="str">
        <x:v>WarlockLord</x:v>
      </x:c>
      <x:c r="F570" s="34" t="n">
        <x:v>743</x:v>
      </x:c>
      <x:c r="G570" s="35" t="n">
        <x:f>IF(C570=0,0,F570/C570*B570)</x:f>
        <x:v>2.9263808036716057</x:v>
      </x:c>
    </x:row>
    <x:row r="571">
      <x:c r="A571" s="33" t="str">
        <x:v>Coleta Black</x:v>
      </x:c>
      <x:c r="B571" s="34" t="n">
        <x:v>7600</x:v>
      </x:c>
      <x:c r="C571" s="34" t="n">
        <x:v>1929619</x:v>
      </x:c>
      <x:c r="D571" s="34" t="n">
        <x:v>97</x:v>
      </x:c>
      <x:c r="E571" s="34" t="str">
        <x:v>Karz1N</x:v>
      </x:c>
      <x:c r="F571" s="34" t="n">
        <x:v>730</x:v>
      </x:c>
      <x:c r="G571" s="35" t="n">
        <x:f>IF(C571=0,0,F571/C571*B571)</x:f>
        <x:v>2.8751789861107295</x:v>
      </x:c>
    </x:row>
    <x:row r="572">
      <x:c r="A572" s="33" t="str">
        <x:v>Power Cores</x:v>
      </x:c>
      <x:c r="B572" s="34" t="n">
        <x:v>6075</x:v>
      </x:c>
      <x:c r="C572" s="34" t="n">
        <x:v>6179525</x:v>
      </x:c>
      <x:c r="D572" s="34" t="n">
        <x:v>1</x:v>
      </x:c>
      <x:c r="E572" s="34" t="str">
        <x:v>Tmaiusculo</x:v>
      </x:c>
      <x:c r="F572" s="34" t="n">
        <x:v>380869</x:v>
      </x:c>
      <x:c r="G572" s="35" t="n">
        <x:f>IF(C572=0,0,F572/C572*B572)</x:f>
        <x:v>374.42670350876483</x:v>
      </x:c>
    </x:row>
    <x:row r="573">
      <x:c r="A573" s="33" t="str">
        <x:v>Power Cores</x:v>
      </x:c>
      <x:c r="B573" s="34" t="n">
        <x:v>6075</x:v>
      </x:c>
      <x:c r="C573" s="34" t="n">
        <x:v>6179525</x:v>
      </x:c>
      <x:c r="D573" s="34" t="n">
        <x:v>2</x:v>
      </x:c>
      <x:c r="E573" s="34" t="str">
        <x:v>TKZX</x:v>
      </x:c>
      <x:c r="F573" s="34" t="n">
        <x:v>338945</x:v>
      </x:c>
      <x:c r="G573" s="35" t="n">
        <x:f>IF(C573=0,0,F573/C573*B573)</x:f>
        <x:v>333.21183667029425</x:v>
      </x:c>
    </x:row>
    <x:row r="574">
      <x:c r="A574" s="33" t="str">
        <x:v>Power Cores</x:v>
      </x:c>
      <x:c r="B574" s="34" t="n">
        <x:v>6075</x:v>
      </x:c>
      <x:c r="C574" s="34" t="n">
        <x:v>6179525</x:v>
      </x:c>
      <x:c r="D574" s="34" t="n">
        <x:v>3</x:v>
      </x:c>
      <x:c r="E574" s="34" t="str">
        <x:v>Jairrodrigo</x:v>
      </x:c>
      <x:c r="F574" s="34" t="n">
        <x:v>301288</x:v>
      </x:c>
      <x:c r="G574" s="35" t="n">
        <x:f>IF(C574=0,0,F574/C574*B574)</x:f>
        <x:v>296.1917946767753</x:v>
      </x:c>
    </x:row>
    <x:row r="575">
      <x:c r="A575" s="33" t="str">
        <x:v>Power Cores</x:v>
      </x:c>
      <x:c r="B575" s="34" t="n">
        <x:v>6075</x:v>
      </x:c>
      <x:c r="C575" s="34" t="n">
        <x:v>6179525</x:v>
      </x:c>
      <x:c r="D575" s="34" t="n">
        <x:v>4</x:v>
      </x:c>
      <x:c r="E575" s="34" t="str">
        <x:v>MatMac</x:v>
      </x:c>
      <x:c r="F575" s="34" t="n">
        <x:v>244803</x:v>
      </x:c>
      <x:c r="G575" s="35" t="n">
        <x:f>IF(C575=0,0,F575/C575*B575)</x:f>
        <x:v>240.66222322913168</x:v>
      </x:c>
    </x:row>
    <x:row r="576">
      <x:c r="A576" s="33" t="str">
        <x:v>Power Cores</x:v>
      </x:c>
      <x:c r="B576" s="34" t="n">
        <x:v>6075</x:v>
      </x:c>
      <x:c r="C576" s="34" t="n">
        <x:v>6179525</x:v>
      </x:c>
      <x:c r="D576" s="34" t="n">
        <x:v>5</x:v>
      </x:c>
      <x:c r="E576" s="34" t="str">
        <x:v>dsn</x:v>
      </x:c>
      <x:c r="F576" s="34" t="n">
        <x:v>219981</x:v>
      </x:c>
      <x:c r="G576" s="35" t="n">
        <x:f>IF(C576=0,0,F576/C576*B576)</x:f>
        <x:v>216.26008066963075</x:v>
      </x:c>
    </x:row>
    <x:row r="577">
      <x:c r="A577" s="33" t="str">
        <x:v>Power Cores</x:v>
      </x:c>
      <x:c r="B577" s="34" t="n">
        <x:v>6075</x:v>
      </x:c>
      <x:c r="C577" s="34" t="n">
        <x:v>6179525</x:v>
      </x:c>
      <x:c r="D577" s="34" t="n">
        <x:v>6</x:v>
      </x:c>
      <x:c r="E577" s="34" t="str">
        <x:v>Sabedoria7</x:v>
      </x:c>
      <x:c r="F577" s="34" t="n">
        <x:v>216221</x:v>
      </x:c>
      <x:c r="G577" s="35" t="n">
        <x:f>IF(C577=0,0,F577/C577*B577)</x:f>
        <x:v>212.563680056315</x:v>
      </x:c>
    </x:row>
    <x:row r="578">
      <x:c r="A578" s="33" t="str">
        <x:v>Power Cores</x:v>
      </x:c>
      <x:c r="B578" s="34" t="n">
        <x:v>6075</x:v>
      </x:c>
      <x:c r="C578" s="34" t="n">
        <x:v>6179525</x:v>
      </x:c>
      <x:c r="D578" s="34" t="n">
        <x:v>7</x:v>
      </x:c>
      <x:c r="E578" s="34" t="str">
        <x:v>Soldier027</x:v>
      </x:c>
      <x:c r="F578" s="34" t="n">
        <x:v>193103</x:v>
      </x:c>
      <x:c r="G578" s="35" t="n">
        <x:f>IF(C578=0,0,F578/C578*B578)</x:f>
        <x:v>189.83671479604016</x:v>
      </x:c>
    </x:row>
    <x:row r="579">
      <x:c r="A579" s="33" t="str">
        <x:v>Power Cores</x:v>
      </x:c>
      <x:c r="B579" s="34" t="n">
        <x:v>6075</x:v>
      </x:c>
      <x:c r="C579" s="34" t="n">
        <x:v>6179525</x:v>
      </x:c>
      <x:c r="D579" s="34" t="n">
        <x:v>8</x:v>
      </x:c>
      <x:c r="E579" s="34" t="str">
        <x:v>minhafemea1</x:v>
      </x:c>
      <x:c r="F579" s="34" t="n">
        <x:v>183195</x:v>
      </x:c>
      <x:c r="G579" s="35" t="n">
        <x:f>IF(C579=0,0,F579/C579*B579)</x:f>
        <x:v>180.09630594584533</x:v>
      </x:c>
    </x:row>
    <x:row r="580">
      <x:c r="A580" s="33" t="str">
        <x:v>Power Cores</x:v>
      </x:c>
      <x:c r="B580" s="34" t="n">
        <x:v>6075</x:v>
      </x:c>
      <x:c r="C580" s="34" t="n">
        <x:v>6179525</x:v>
      </x:c>
      <x:c r="D580" s="34" t="n">
        <x:v>9</x:v>
      </x:c>
      <x:c r="E580" s="34" t="str">
        <x:v>jokker1998</x:v>
      </x:c>
      <x:c r="F580" s="34" t="n">
        <x:v>157205</x:v>
      </x:c>
      <x:c r="G580" s="35" t="n">
        <x:f>IF(C580=0,0,F580/C580*B580)</x:f>
        <x:v>154.54591979156973</x:v>
      </x:c>
    </x:row>
    <x:row r="581">
      <x:c r="A581" s="33" t="str">
        <x:v>Power Cores</x:v>
      </x:c>
      <x:c r="B581" s="34" t="n">
        <x:v>6075</x:v>
      </x:c>
      <x:c r="C581" s="34" t="n">
        <x:v>6179525</x:v>
      </x:c>
      <x:c r="D581" s="34" t="n">
        <x:v>10</x:v>
      </x:c>
      <x:c r="E581" s="34" t="str">
        <x:v>MaxHardcore</x:v>
      </x:c>
      <x:c r="F581" s="34" t="n">
        <x:v>154129</x:v>
      </x:c>
      <x:c r="G581" s="35" t="n">
        <x:f>IF(C581=0,0,F581/C581*B581)</x:f>
        <x:v>151.5219495025912</x:v>
      </x:c>
    </x:row>
    <x:row r="582">
      <x:c r="A582" s="33" t="str">
        <x:v>Power Cores</x:v>
      </x:c>
      <x:c r="B582" s="34" t="n">
        <x:v>6075</x:v>
      </x:c>
      <x:c r="C582" s="34" t="n">
        <x:v>6179525</x:v>
      </x:c>
      <x:c r="D582" s="34" t="n">
        <x:v>11</x:v>
      </x:c>
      <x:c r="E582" s="34" t="str">
        <x:v>KuNaKiNa</x:v>
      </x:c>
      <x:c r="F582" s="34" t="n">
        <x:v>150973</x:v>
      </x:c>
      <x:c r="G582" s="35" t="n">
        <x:f>IF(C582=0,0,F582/C582*B582)</x:f>
        <x:v>148.41933239205278</x:v>
      </x:c>
    </x:row>
    <x:row r="583">
      <x:c r="A583" s="33" t="str">
        <x:v>Power Cores</x:v>
      </x:c>
      <x:c r="B583" s="34" t="n">
        <x:v>6075</x:v>
      </x:c>
      <x:c r="C583" s="34" t="n">
        <x:v>6179525</x:v>
      </x:c>
      <x:c r="D583" s="34" t="n">
        <x:v>12</x:v>
      </x:c>
      <x:c r="E583" s="34" t="str">
        <x:v>Akuma1000</x:v>
      </x:c>
      <x:c r="F583" s="34" t="n">
        <x:v>147116</x:v>
      </x:c>
      <x:c r="G583" s="35" t="n">
        <x:f>IF(C583=0,0,F583/C583*B583)</x:f>
        <x:v>144.62757250759563</x:v>
      </x:c>
    </x:row>
    <x:row r="584">
      <x:c r="A584" s="33" t="str">
        <x:v>Power Cores</x:v>
      </x:c>
      <x:c r="B584" s="34" t="n">
        <x:v>6075</x:v>
      </x:c>
      <x:c r="C584" s="34" t="n">
        <x:v>6179525</x:v>
      </x:c>
      <x:c r="D584" s="34" t="n">
        <x:v>13</x:v>
      </x:c>
      <x:c r="E584" s="34" t="str">
        <x:v>Jmbv</x:v>
      </x:c>
      <x:c r="F584" s="34" t="n">
        <x:v>146588</x:v>
      </x:c>
      <x:c r="G584" s="35" t="n">
        <x:f>IF(C584=0,0,F584/C584*B584)</x:f>
        <x:v>144.10850348530025</x:v>
      </x:c>
    </x:row>
    <x:row r="585">
      <x:c r="A585" s="33" t="str">
        <x:v>Power Cores</x:v>
      </x:c>
      <x:c r="B585" s="34" t="n">
        <x:v>6075</x:v>
      </x:c>
      <x:c r="C585" s="34" t="n">
        <x:v>6179525</x:v>
      </x:c>
      <x:c r="D585" s="34" t="n">
        <x:v>14</x:v>
      </x:c>
      <x:c r="E585" s="34" t="str">
        <x:v>goncalves23</x:v>
      </x:c>
      <x:c r="F585" s="34" t="n">
        <x:v>129702</x:v>
      </x:c>
      <x:c r="G585" s="35" t="n">
        <x:f>IF(C585=0,0,F585/C585*B585)</x:f>
        <x:v>127.50812562454233</x:v>
      </x:c>
    </x:row>
    <x:row r="586">
      <x:c r="A586" s="33" t="str">
        <x:v>Power Cores</x:v>
      </x:c>
      <x:c r="B586" s="34" t="n">
        <x:v>6075</x:v>
      </x:c>
      <x:c r="C586" s="34" t="n">
        <x:v>6179525</x:v>
      </x:c>
      <x:c r="D586" s="34" t="n">
        <x:v>15</x:v>
      </x:c>
      <x:c r="E586" s="34" t="str">
        <x:v>LEOPOLD</x:v>
      </x:c>
      <x:c r="F586" s="34" t="n">
        <x:v>128517</x:v>
      </x:c>
      <x:c r="G586" s="35" t="n">
        <x:f>IF(C586=0,0,F586/C586*B586)</x:f>
        <x:v>126.34316958018618</x:v>
      </x:c>
    </x:row>
    <x:row r="587">
      <x:c r="A587" s="33" t="str">
        <x:v>Power Cores</x:v>
      </x:c>
      <x:c r="B587" s="34" t="n">
        <x:v>6075</x:v>
      </x:c>
      <x:c r="C587" s="34" t="n">
        <x:v>6179525</x:v>
      </x:c>
      <x:c r="D587" s="34" t="n">
        <x:v>16</x:v>
      </x:c>
      <x:c r="E587" s="34" t="str">
        <x:v>OniGuM000</x:v>
      </x:c>
      <x:c r="F587" s="34" t="n">
        <x:v>128196</x:v>
      </x:c>
      <x:c r="G587" s="35" t="n">
        <x:f>IF(C587=0,0,F587/C587*B587)</x:f>
        <x:v>126.02759920867705</x:v>
      </x:c>
    </x:row>
    <x:row r="588">
      <x:c r="A588" s="33" t="str">
        <x:v>Power Cores</x:v>
      </x:c>
      <x:c r="B588" s="34" t="n">
        <x:v>6075</x:v>
      </x:c>
      <x:c r="C588" s="34" t="n">
        <x:v>6179525</x:v>
      </x:c>
      <x:c r="D588" s="34" t="n">
        <x:v>17</x:v>
      </x:c>
      <x:c r="E588" s="34" t="str">
        <x:v>A2ar</x:v>
      </x:c>
      <x:c r="F588" s="34" t="n">
        <x:v>127078</x:v>
      </x:c>
      <x:c r="G588" s="35" t="n">
        <x:f>IF(C588=0,0,F588/C588*B588)</x:f>
        <x:v>124.92850987737731</x:v>
      </x:c>
    </x:row>
    <x:row r="589">
      <x:c r="A589" s="33" t="str">
        <x:v>Power Cores</x:v>
      </x:c>
      <x:c r="B589" s="34" t="n">
        <x:v>6075</x:v>
      </x:c>
      <x:c r="C589" s="34" t="n">
        <x:v>6179525</x:v>
      </x:c>
      <x:c r="D589" s="34" t="n">
        <x:v>18</x:v>
      </x:c>
      <x:c r="E589" s="34" t="str">
        <x:v>Hi6or</x:v>
      </x:c>
      <x:c r="F589" s="34" t="n">
        <x:v>126419</x:v>
      </x:c>
      <x:c r="G589" s="35" t="n">
        <x:f>IF(C589=0,0,F589/C589*B589)</x:f>
        <x:v>124.28065668477755</x:v>
      </x:c>
    </x:row>
    <x:row r="590">
      <x:c r="A590" s="33" t="str">
        <x:v>Power Cores</x:v>
      </x:c>
      <x:c r="B590" s="34" t="n">
        <x:v>6075</x:v>
      </x:c>
      <x:c r="C590" s="34" t="n">
        <x:v>6179525</x:v>
      </x:c>
      <x:c r="D590" s="34" t="n">
        <x:v>19</x:v>
      </x:c>
      <x:c r="E590" s="34" t="str">
        <x:v>Patolas</x:v>
      </x:c>
      <x:c r="F590" s="34" t="n">
        <x:v>123233</x:v>
      </x:c>
      <x:c r="G590" s="35" t="n">
        <x:f>IF(C590=0,0,F590/C590*B590)</x:f>
        <x:v>121.14854701615414</x:v>
      </x:c>
    </x:row>
    <x:row r="591">
      <x:c r="A591" s="33" t="str">
        <x:v>Power Cores</x:v>
      </x:c>
      <x:c r="B591" s="34" t="n">
        <x:v>6075</x:v>
      </x:c>
      <x:c r="C591" s="34" t="n">
        <x:v>6179525</x:v>
      </x:c>
      <x:c r="D591" s="34" t="n">
        <x:v>20</x:v>
      </x:c>
      <x:c r="E591" s="34" t="str">
        <x:v>Euhh</x:v>
      </x:c>
      <x:c r="F591" s="34" t="n">
        <x:v>121499</x:v>
      </x:c>
      <x:c r="G591" s="35" t="n">
        <x:f>IF(C591=0,0,F591/C591*B591)</x:f>
        <x:v>119.44387715884312</x:v>
      </x:c>
    </x:row>
    <x:row r="592">
      <x:c r="A592" s="33" t="str">
        <x:v>Power Cores</x:v>
      </x:c>
      <x:c r="B592" s="34" t="n">
        <x:v>6075</x:v>
      </x:c>
      <x:c r="C592" s="34" t="n">
        <x:v>6179525</x:v>
      </x:c>
      <x:c r="D592" s="34" t="n">
        <x:v>21</x:v>
      </x:c>
      <x:c r="E592" s="34" t="str">
        <x:v>Groom84</x:v>
      </x:c>
      <x:c r="F592" s="34" t="n">
        <x:v>120321</x:v>
      </x:c>
      <x:c r="G592" s="35" t="n">
        <x:f>IF(C592=0,0,F592/C592*B592)</x:f>
        <x:v>118.28580271137345</x:v>
      </x:c>
    </x:row>
    <x:row r="593">
      <x:c r="A593" s="33" t="str">
        <x:v>Power Cores</x:v>
      </x:c>
      <x:c r="B593" s="34" t="n">
        <x:v>6075</x:v>
      </x:c>
      <x:c r="C593" s="34" t="n">
        <x:v>6179525</x:v>
      </x:c>
      <x:c r="D593" s="34" t="n">
        <x:v>22</x:v>
      </x:c>
      <x:c r="E593" s="34" t="str">
        <x:v>BSAIGunner</x:v>
      </x:c>
      <x:c r="F593" s="34" t="n">
        <x:v>117843</x:v>
      </x:c>
      <x:c r="G593" s="35" t="n">
        <x:f>IF(C593=0,0,F593/C593*B593)</x:f>
        <x:v>115.84971741355525</x:v>
      </x:c>
    </x:row>
    <x:row r="594">
      <x:c r="A594" s="33" t="str">
        <x:v>Power Cores</x:v>
      </x:c>
      <x:c r="B594" s="34" t="n">
        <x:v>6075</x:v>
      </x:c>
      <x:c r="C594" s="34" t="n">
        <x:v>6179525</x:v>
      </x:c>
      <x:c r="D594" s="34" t="n">
        <x:v>23</x:v>
      </x:c>
      <x:c r="E594" s="34" t="str">
        <x:v>PlantsTK</x:v>
      </x:c>
      <x:c r="F594" s="34" t="n">
        <x:v>110870</x:v>
      </x:c>
      <x:c r="G594" s="35" t="n">
        <x:f>IF(C594=0,0,F594/C594*B594)</x:f>
        <x:v>108.99466382933963</x:v>
      </x:c>
    </x:row>
    <x:row r="595">
      <x:c r="A595" s="33" t="str">
        <x:v>Power Cores</x:v>
      </x:c>
      <x:c r="B595" s="34" t="n">
        <x:v>6075</x:v>
      </x:c>
      <x:c r="C595" s="34" t="n">
        <x:v>6179525</x:v>
      </x:c>
      <x:c r="D595" s="34" t="n">
        <x:v>24</x:v>
      </x:c>
      <x:c r="E595" s="34" t="str">
        <x:v>lordkiller01</x:v>
      </x:c>
      <x:c r="F595" s="34" t="n">
        <x:v>110621</x:v>
      </x:c>
      <x:c r="G595" s="35" t="n">
        <x:f>IF(C595=0,0,F595/C595*B595)</x:f>
        <x:v>108.74987559723441</x:v>
      </x:c>
    </x:row>
    <x:row r="596">
      <x:c r="A596" s="33" t="str">
        <x:v>Power Cores</x:v>
      </x:c>
      <x:c r="B596" s="34" t="n">
        <x:v>6075</x:v>
      </x:c>
      <x:c r="C596" s="34" t="n">
        <x:v>6179525</x:v>
      </x:c>
      <x:c r="D596" s="34" t="n">
        <x:v>25</x:v>
      </x:c>
      <x:c r="E596" s="34" t="str">
        <x:v>maicon1357</x:v>
      </x:c>
      <x:c r="F596" s="34" t="n">
        <x:v>103402</x:v>
      </x:c>
      <x:c r="G596" s="35" t="n">
        <x:f>IF(C596=0,0,F596/C596*B596)</x:f>
        <x:v>101.65298303672208</x:v>
      </x:c>
    </x:row>
    <x:row r="597">
      <x:c r="A597" s="33" t="str">
        <x:v>Power Cores</x:v>
      </x:c>
      <x:c r="B597" s="34" t="n">
        <x:v>6075</x:v>
      </x:c>
      <x:c r="C597" s="34" t="n">
        <x:v>6179525</x:v>
      </x:c>
      <x:c r="D597" s="34" t="n">
        <x:v>26</x:v>
      </x:c>
      <x:c r="E597" s="34" t="str">
        <x:v>Amakv</x:v>
      </x:c>
      <x:c r="F597" s="34" t="n">
        <x:v>94909</x:v>
      </x:c>
      <x:c r="G597" s="35" t="n">
        <x:f>IF(C597=0,0,F597/C597*B597)</x:f>
        <x:v>93.30363984286818</x:v>
      </x:c>
    </x:row>
    <x:row r="598">
      <x:c r="A598" s="33" t="str">
        <x:v>Power Cores</x:v>
      </x:c>
      <x:c r="B598" s="34" t="n">
        <x:v>6075</x:v>
      </x:c>
      <x:c r="C598" s="34" t="n">
        <x:v>6179525</x:v>
      </x:c>
      <x:c r="D598" s="34" t="n">
        <x:v>27</x:v>
      </x:c>
      <x:c r="E598" s="34" t="str">
        <x:v>LipeFuab</x:v>
      </x:c>
      <x:c r="F598" s="34" t="n">
        <x:v>94594</x:v>
      </x:c>
      <x:c r="G598" s="35" t="n">
        <x:f>IF(C598=0,0,F598/C598*B598)</x:f>
        <x:v>92.99396798297603</x:v>
      </x:c>
    </x:row>
    <x:row r="599">
      <x:c r="A599" s="33" t="str">
        <x:v>Power Cores</x:v>
      </x:c>
      <x:c r="B599" s="34" t="n">
        <x:v>6075</x:v>
      </x:c>
      <x:c r="C599" s="34" t="n">
        <x:v>6179525</x:v>
      </x:c>
      <x:c r="D599" s="34" t="n">
        <x:v>28</x:v>
      </x:c>
      <x:c r="E599" s="34" t="str">
        <x:v>Nagacaburos</x:v>
      </x:c>
      <x:c r="F599" s="34" t="n">
        <x:v>94422</x:v>
      </x:c>
      <x:c r="G599" s="35" t="n">
        <x:f>IF(C599=0,0,F599/C599*B599)</x:f>
        <x:v>92.82487731662222</x:v>
      </x:c>
    </x:row>
    <x:row r="600">
      <x:c r="A600" s="33" t="str">
        <x:v>Power Cores</x:v>
      </x:c>
      <x:c r="B600" s="34" t="n">
        <x:v>6075</x:v>
      </x:c>
      <x:c r="C600" s="34" t="n">
        <x:v>6179525</x:v>
      </x:c>
      <x:c r="D600" s="34" t="n">
        <x:v>29</x:v>
      </x:c>
      <x:c r="E600" s="34" t="str">
        <x:v>MARIOMALAN</x:v>
      </x:c>
      <x:c r="F600" s="34" t="n">
        <x:v>93289</x:v>
      </x:c>
      <x:c r="G600" s="35" t="n">
        <x:f>IF(C600=0,0,F600/C600*B600)</x:f>
        <x:v>91.71104170628001</x:v>
      </x:c>
    </x:row>
    <x:row r="601">
      <x:c r="A601" s="33" t="str">
        <x:v>Power Cores</x:v>
      </x:c>
      <x:c r="B601" s="34" t="n">
        <x:v>6075</x:v>
      </x:c>
      <x:c r="C601" s="34" t="n">
        <x:v>6179525</x:v>
      </x:c>
      <x:c r="D601" s="34" t="n">
        <x:v>30</x:v>
      </x:c>
      <x:c r="E601" s="34" t="str">
        <x:v>VTracer</x:v>
      </x:c>
      <x:c r="F601" s="34" t="n">
        <x:v>87039</x:v>
      </x:c>
      <x:c r="G601" s="35" t="n">
        <x:f>IF(C601=0,0,F601/C601*B601)</x:f>
        <x:v>85.56675877191208</x:v>
      </x:c>
    </x:row>
    <x:row r="602">
      <x:c r="A602" s="33" t="str">
        <x:v>Power Cores</x:v>
      </x:c>
      <x:c r="B602" s="34" t="n">
        <x:v>6075</x:v>
      </x:c>
      <x:c r="C602" s="34" t="n">
        <x:v>6179525</x:v>
      </x:c>
      <x:c r="D602" s="34" t="n">
        <x:v>31</x:v>
      </x:c>
      <x:c r="E602" s="34" t="str">
        <x:v>Natsury</x:v>
      </x:c>
      <x:c r="F602" s="34" t="n">
        <x:v>82626</x:v>
      </x:c>
      <x:c r="G602" s="35" t="n">
        <x:f>IF(C602=0,0,F602/C602*B602)</x:f>
        <x:v>81.22840347761357</x:v>
      </x:c>
    </x:row>
    <x:row r="603">
      <x:c r="A603" s="33" t="str">
        <x:v>Power Cores</x:v>
      </x:c>
      <x:c r="B603" s="34" t="n">
        <x:v>6075</x:v>
      </x:c>
      <x:c r="C603" s="34" t="n">
        <x:v>6179525</x:v>
      </x:c>
      <x:c r="D603" s="34" t="n">
        <x:v>32</x:v>
      </x:c>
      <x:c r="E603" s="34" t="str">
        <x:v>Yuangii</x:v>
      </x:c>
      <x:c r="F603" s="34" t="n">
        <x:v>66582</x:v>
      </x:c>
      <x:c r="G603" s="35" t="n">
        <x:f>IF(C603=0,0,F603/C603*B603)</x:f>
        <x:v>65.45578341377372</x:v>
      </x:c>
    </x:row>
    <x:row r="604">
      <x:c r="A604" s="33" t="str">
        <x:v>Power Cores</x:v>
      </x:c>
      <x:c r="B604" s="34" t="n">
        <x:v>6075</x:v>
      </x:c>
      <x:c r="C604" s="34" t="n">
        <x:v>6179525</x:v>
      </x:c>
      <x:c r="D604" s="34" t="n">
        <x:v>33</x:v>
      </x:c>
      <x:c r="E604" s="34" t="str">
        <x:v>imdonedontkillme</x:v>
      </x:c>
      <x:c r="F604" s="34" t="n">
        <x:v>65369</x:v>
      </x:c>
      <x:c r="G604" s="35" t="n">
        <x:f>IF(C604=0,0,F604/C604*B604)</x:f>
        <x:v>64.26330098187158</x:v>
      </x:c>
    </x:row>
    <x:row r="605">
      <x:c r="A605" s="33" t="str">
        <x:v>Power Cores</x:v>
      </x:c>
      <x:c r="B605" s="34" t="n">
        <x:v>6075</x:v>
      </x:c>
      <x:c r="C605" s="34" t="n">
        <x:v>6179525</x:v>
      </x:c>
      <x:c r="D605" s="34" t="n">
        <x:v>34</x:v>
      </x:c>
      <x:c r="E605" s="34" t="str">
        <x:v>SerpentVeil</x:v>
      </x:c>
      <x:c r="F605" s="34" t="n">
        <x:v>64654</x:v>
      </x:c>
      <x:c r="G605" s="35" t="n">
        <x:f>IF(C605=0,0,F605/C605*B605)</x:f>
        <x:v>63.56039501417989</x:v>
      </x:c>
    </x:row>
    <x:row r="606">
      <x:c r="A606" s="33" t="str">
        <x:v>Power Cores</x:v>
      </x:c>
      <x:c r="B606" s="34" t="n">
        <x:v>6075</x:v>
      </x:c>
      <x:c r="C606" s="34" t="n">
        <x:v>6179525</x:v>
      </x:c>
      <x:c r="D606" s="34" t="n">
        <x:v>35</x:v>
      </x:c>
      <x:c r="E606" s="34" t="str">
        <x:v>Cominhos</x:v>
      </x:c>
      <x:c r="F606" s="34" t="n">
        <x:v>57580</x:v>
      </x:c>
      <x:c r="G606" s="35" t="n">
        <x:f>IF(C606=0,0,F606/C606*B606)</x:f>
        <x:v>56.60604981774489</x:v>
      </x:c>
    </x:row>
    <x:row r="607">
      <x:c r="A607" s="33" t="str">
        <x:v>Power Cores</x:v>
      </x:c>
      <x:c r="B607" s="34" t="n">
        <x:v>6075</x:v>
      </x:c>
      <x:c r="C607" s="34" t="n">
        <x:v>6179525</x:v>
      </x:c>
      <x:c r="D607" s="34" t="n">
        <x:v>36</x:v>
      </x:c>
      <x:c r="E607" s="34" t="str">
        <x:v>Jabiroca1</x:v>
      </x:c>
      <x:c r="F607" s="34" t="n">
        <x:v>54600</x:v>
      </x:c>
      <x:c r="G607" s="35" t="n">
        <x:f>IF(C607=0,0,F607/C607*B607)</x:f>
        <x:v>53.676455714638266</x:v>
      </x:c>
    </x:row>
    <x:row r="608">
      <x:c r="A608" s="33" t="str">
        <x:v>Power Cores</x:v>
      </x:c>
      <x:c r="B608" s="34" t="n">
        <x:v>6075</x:v>
      </x:c>
      <x:c r="C608" s="34" t="n">
        <x:v>6179525</x:v>
      </x:c>
      <x:c r="D608" s="34" t="n">
        <x:v>37</x:v>
      </x:c>
      <x:c r="E608" s="34" t="str">
        <x:v>theYousek</x:v>
      </x:c>
      <x:c r="F608" s="34" t="n">
        <x:v>52704</x:v>
      </x:c>
      <x:c r="G608" s="35" t="n">
        <x:f>IF(C608=0,0,F608/C608*B608)</x:f>
        <x:v>51.812526043668406</x:v>
      </x:c>
    </x:row>
    <x:row r="609">
      <x:c r="A609" s="33" t="str">
        <x:v>Power Cores</x:v>
      </x:c>
      <x:c r="B609" s="34" t="n">
        <x:v>6075</x:v>
      </x:c>
      <x:c r="C609" s="34" t="n">
        <x:v>6179525</x:v>
      </x:c>
      <x:c r="D609" s="34" t="n">
        <x:v>38</x:v>
      </x:c>
      <x:c r="E609" s="34" t="str">
        <x:v>julioczr</x:v>
      </x:c>
      <x:c r="F609" s="34" t="n">
        <x:v>52002</x:v>
      </x:c>
      <x:c r="G609" s="35" t="n">
        <x:f>IF(C609=0,0,F609/C609*B609)</x:f>
        <x:v>51.1224001844802</x:v>
      </x:c>
    </x:row>
    <x:row r="610">
      <x:c r="A610" s="33" t="str">
        <x:v>Power Cores</x:v>
      </x:c>
      <x:c r="B610" s="34" t="n">
        <x:v>6075</x:v>
      </x:c>
      <x:c r="C610" s="34" t="n">
        <x:v>6179525</x:v>
      </x:c>
      <x:c r="D610" s="34" t="n">
        <x:v>39</x:v>
      </x:c>
      <x:c r="E610" s="34" t="str">
        <x:v>MineMim</x:v>
      </x:c>
      <x:c r="F610" s="34" t="n">
        <x:v>50716</x:v>
      </x:c>
      <x:c r="G610" s="35" t="n">
        <x:f>IF(C610=0,0,F610/C610*B610)</x:f>
        <x:v>49.85815252790465</x:v>
      </x:c>
    </x:row>
    <x:row r="611">
      <x:c r="A611" s="33" t="str">
        <x:v>Power Cores</x:v>
      </x:c>
      <x:c r="B611" s="34" t="n">
        <x:v>6075</x:v>
      </x:c>
      <x:c r="C611" s="34" t="n">
        <x:v>6179525</x:v>
      </x:c>
      <x:c r="D611" s="34" t="n">
        <x:v>40</x:v>
      </x:c>
      <x:c r="E611" s="34" t="str">
        <x:v>jrfate</x:v>
      </x:c>
      <x:c r="F611" s="34" t="n">
        <x:v>46273</x:v>
      </x:c>
      <x:c r="G611" s="35" t="n">
        <x:f>IF(C611=0,0,F611/C611*B611)</x:f>
        <x:v>45.49030467552117</x:v>
      </x:c>
    </x:row>
    <x:row r="612">
      <x:c r="A612" s="33" t="str">
        <x:v>Power Cores</x:v>
      </x:c>
      <x:c r="B612" s="34" t="n">
        <x:v>6075</x:v>
      </x:c>
      <x:c r="C612" s="34" t="n">
        <x:v>6179525</x:v>
      </x:c>
      <x:c r="D612" s="34" t="n">
        <x:v>41</x:v>
      </x:c>
      <x:c r="E612" s="34" t="str">
        <x:v>Davimix</x:v>
      </x:c>
      <x:c r="F612" s="34" t="n">
        <x:v>46205</x:v>
      </x:c>
      <x:c r="G612" s="35" t="n">
        <x:f>IF(C612=0,0,F612/C612*B612)</x:f>
        <x:v>45.423454877195255</x:v>
      </x:c>
    </x:row>
    <x:row r="613">
      <x:c r="A613" s="33" t="str">
        <x:v>Power Cores</x:v>
      </x:c>
      <x:c r="B613" s="34" t="n">
        <x:v>6075</x:v>
      </x:c>
      <x:c r="C613" s="34" t="n">
        <x:v>6179525</x:v>
      </x:c>
      <x:c r="D613" s="34" t="n">
        <x:v>42</x:v>
      </x:c>
      <x:c r="E613" s="34" t="str">
        <x:v>MYLOLA262</x:v>
      </x:c>
      <x:c r="F613" s="34" t="n">
        <x:v>45430</x:v>
      </x:c>
      <x:c r="G613" s="35" t="n">
        <x:f>IF(C613=0,0,F613/C613*B613)</x:f>
        <x:v>44.66156379333363</x:v>
      </x:c>
    </x:row>
    <x:row r="614">
      <x:c r="A614" s="33" t="str">
        <x:v>Power Cores</x:v>
      </x:c>
      <x:c r="B614" s="34" t="n">
        <x:v>6075</x:v>
      </x:c>
      <x:c r="C614" s="34" t="n">
        <x:v>6179525</x:v>
      </x:c>
      <x:c r="D614" s="34" t="n">
        <x:v>43</x:v>
      </x:c>
      <x:c r="E614" s="34" t="str">
        <x:v>Lamusk</x:v>
      </x:c>
      <x:c r="F614" s="34" t="n">
        <x:v>42970</x:v>
      </x:c>
      <x:c r="G614" s="35" t="n">
        <x:f>IF(C614=0,0,F614/C614*B614)</x:f>
        <x:v>42.24317403036641</x:v>
      </x:c>
    </x:row>
    <x:row r="615">
      <x:c r="A615" s="33" t="str">
        <x:v>Power Cores</x:v>
      </x:c>
      <x:c r="B615" s="34" t="n">
        <x:v>6075</x:v>
      </x:c>
      <x:c r="C615" s="34" t="n">
        <x:v>6179525</x:v>
      </x:c>
      <x:c r="D615" s="34" t="n">
        <x:v>44</x:v>
      </x:c>
      <x:c r="E615" s="34" t="str">
        <x:v>Guislave</x:v>
      </x:c>
      <x:c r="F615" s="34" t="n">
        <x:v>36003</x:v>
      </x:c>
      <x:c r="G615" s="35" t="n">
        <x:f>IF(C615=0,0,F615/C615*B615)</x:f>
        <x:v>35.39401895776779</x:v>
      </x:c>
    </x:row>
    <x:row r="616">
      <x:c r="A616" s="33" t="str">
        <x:v>Power Cores</x:v>
      </x:c>
      <x:c r="B616" s="34" t="n">
        <x:v>6075</x:v>
      </x:c>
      <x:c r="C616" s="34" t="n">
        <x:v>6179525</x:v>
      </x:c>
      <x:c r="D616" s="34" t="n">
        <x:v>45</x:v>
      </x:c>
      <x:c r="E616" s="34" t="str">
        <x:v>IIIIIIIIIII</x:v>
      </x:c>
      <x:c r="F616" s="34" t="n">
        <x:v>32731</x:v>
      </x:c>
      <x:c r="G616" s="35" t="n">
        <x:f>IF(C616=0,0,F616/C616*B616)</x:f>
        <x:v>32.177363955967486</x:v>
      </x:c>
    </x:row>
    <x:row r="617">
      <x:c r="A617" s="33" t="str">
        <x:v>Power Cores</x:v>
      </x:c>
      <x:c r="B617" s="34" t="n">
        <x:v>6075</x:v>
      </x:c>
      <x:c r="C617" s="34" t="n">
        <x:v>6179525</x:v>
      </x:c>
      <x:c r="D617" s="34" t="n">
        <x:v>46</x:v>
      </x:c>
      <x:c r="E617" s="34" t="str">
        <x:v>RullinSKILL</x:v>
      </x:c>
      <x:c r="F617" s="34" t="n">
        <x:v>32122</x:v>
      </x:c>
      <x:c r="G617" s="35" t="n">
        <x:f>IF(C617=0,0,F617/C617*B617)</x:f>
        <x:v>31.578665026842675</x:v>
      </x:c>
    </x:row>
    <x:row r="618">
      <x:c r="A618" s="33" t="str">
        <x:v>Power Cores</x:v>
      </x:c>
      <x:c r="B618" s="34" t="n">
        <x:v>6075</x:v>
      </x:c>
      <x:c r="C618" s="34" t="n">
        <x:v>6179525</x:v>
      </x:c>
      <x:c r="D618" s="34" t="n">
        <x:v>47</x:v>
      </x:c>
      <x:c r="E618" s="34" t="str">
        <x:v>Sum0l</x:v>
      </x:c>
      <x:c r="F618" s="34" t="n">
        <x:v>26800</x:v>
      </x:c>
      <x:c r="G618" s="35" t="n">
        <x:f>IF(C618=0,0,F618/C618*B618)</x:f>
        <x:v>26.346685222569693</x:v>
      </x:c>
    </x:row>
    <x:row r="619">
      <x:c r="A619" s="33" t="str">
        <x:v>Power Cores</x:v>
      </x:c>
      <x:c r="B619" s="34" t="n">
        <x:v>6075</x:v>
      </x:c>
      <x:c r="C619" s="34" t="n">
        <x:v>6179525</x:v>
      </x:c>
      <x:c r="D619" s="34" t="n">
        <x:v>48</x:v>
      </x:c>
      <x:c r="E619" s="34" t="str">
        <x:v>SeuDanadoo</x:v>
      </x:c>
      <x:c r="F619" s="34" t="n">
        <x:v>26310</x:v>
      </x:c>
      <x:c r="G619" s="35" t="n">
        <x:f>IF(C619=0,0,F619/C619*B619)</x:f>
        <x:v>25.86497344051525</x:v>
      </x:c>
    </x:row>
    <x:row r="620">
      <x:c r="A620" s="33" t="str">
        <x:v>Power Cores</x:v>
      </x:c>
      <x:c r="B620" s="34" t="n">
        <x:v>6075</x:v>
      </x:c>
      <x:c r="C620" s="34" t="n">
        <x:v>6179525</x:v>
      </x:c>
      <x:c r="D620" s="34" t="n">
        <x:v>49</x:v>
      </x:c>
      <x:c r="E620" s="34" t="str">
        <x:v>vadisley</x:v>
      </x:c>
      <x:c r="F620" s="34" t="n">
        <x:v>24182</x:v>
      </x:c>
      <x:c r="G620" s="35" t="n">
        <x:f>IF(C620=0,0,F620/C620*B620)</x:f>
        <x:v>23.77296798702166</x:v>
      </x:c>
    </x:row>
    <x:row r="621">
      <x:c r="A621" s="33" t="str">
        <x:v>Power Cores</x:v>
      </x:c>
      <x:c r="B621" s="34" t="n">
        <x:v>6075</x:v>
      </x:c>
      <x:c r="C621" s="34" t="n">
        <x:v>6179525</x:v>
      </x:c>
      <x:c r="D621" s="34" t="n">
        <x:v>50</x:v>
      </x:c>
      <x:c r="E621" s="34" t="str">
        <x:v>Dorfiuses</x:v>
      </x:c>
      <x:c r="F621" s="34" t="n">
        <x:v>23175</x:v>
      </x:c>
      <x:c r="G621" s="35" t="n">
        <x:f>IF(C621=0,0,F621/C621*B621)</x:f>
        <x:v>22.783001120636293</x:v>
      </x:c>
    </x:row>
    <x:row r="622">
      <x:c r="A622" s="33" t="str">
        <x:v>Power Cores</x:v>
      </x:c>
      <x:c r="B622" s="34" t="n">
        <x:v>6075</x:v>
      </x:c>
      <x:c r="C622" s="34" t="n">
        <x:v>6179525</x:v>
      </x:c>
      <x:c r="D622" s="34" t="n">
        <x:v>51</x:v>
      </x:c>
      <x:c r="E622" s="34" t="str">
        <x:v>zBrunooHD</x:v>
      </x:c>
      <x:c r="F622" s="34" t="n">
        <x:v>22694</x:v>
      </x:c>
      <x:c r="G622" s="35" t="n">
        <x:f>IF(C622=0,0,F622/C622*B622)</x:f>
        <x:v>22.31013710600734</x:v>
      </x:c>
    </x:row>
    <x:row r="623">
      <x:c r="A623" s="33" t="str">
        <x:v>Power Cores</x:v>
      </x:c>
      <x:c r="B623" s="34" t="n">
        <x:v>6075</x:v>
      </x:c>
      <x:c r="C623" s="34" t="n">
        <x:v>6179525</x:v>
      </x:c>
      <x:c r="D623" s="34" t="n">
        <x:v>52</x:v>
      </x:c>
      <x:c r="E623" s="34" t="str">
        <x:v>BrEnnD</x:v>
      </x:c>
      <x:c r="F623" s="34" t="n">
        <x:v>21752</x:v>
      </x:c>
      <x:c r="G623" s="35" t="n">
        <x:f>IF(C623=0,0,F623/C623*B623)</x:f>
        <x:v>21.384070782139403</x:v>
      </x:c>
    </x:row>
    <x:row r="624">
      <x:c r="A624" s="33" t="str">
        <x:v>Power Cores</x:v>
      </x:c>
      <x:c r="B624" s="34" t="n">
        <x:v>6075</x:v>
      </x:c>
      <x:c r="C624" s="34" t="n">
        <x:v>6179525</x:v>
      </x:c>
      <x:c r="D624" s="34" t="n">
        <x:v>53</x:v>
      </x:c>
      <x:c r="E624" s="34" t="str">
        <x:v>Karz1N</x:v>
      </x:c>
      <x:c r="F624" s="34" t="n">
        <x:v>21288</x:v>
      </x:c>
      <x:c r="G624" s="35" t="n">
        <x:f>IF(C624=0,0,F624/C624*B624)</x:f>
        <x:v>20.92791921709193</x:v>
      </x:c>
    </x:row>
    <x:row r="625">
      <x:c r="A625" s="33" t="str">
        <x:v>Power Cores</x:v>
      </x:c>
      <x:c r="B625" s="34" t="n">
        <x:v>6075</x:v>
      </x:c>
      <x:c r="C625" s="34" t="n">
        <x:v>6179525</x:v>
      </x:c>
      <x:c r="D625" s="34" t="n">
        <x:v>54</x:v>
      </x:c>
      <x:c r="E625" s="34" t="str">
        <x:v>Djwd</x:v>
      </x:c>
      <x:c r="F625" s="34" t="n">
        <x:v>21246</x:v>
      </x:c>
      <x:c r="G625" s="35" t="n">
        <x:f>IF(C625=0,0,F625/C625*B625)</x:f>
        <x:v>20.886629635772977</x:v>
      </x:c>
    </x:row>
    <x:row r="626">
      <x:c r="A626" s="33" t="str">
        <x:v>Power Cores</x:v>
      </x:c>
      <x:c r="B626" s="34" t="n">
        <x:v>6075</x:v>
      </x:c>
      <x:c r="C626" s="34" t="n">
        <x:v>6179525</x:v>
      </x:c>
      <x:c r="D626" s="34" t="n">
        <x:v>55</x:v>
      </x:c>
      <x:c r="E626" s="34" t="str">
        <x:v>Chuckzerah</x:v>
      </x:c>
      <x:c r="F626" s="34" t="n">
        <x:v>21051</x:v>
      </x:c>
      <x:c r="G626" s="35" t="n">
        <x:f>IF(C626=0,0,F626/C626*B626)</x:f>
        <x:v>20.694928008220696</x:v>
      </x:c>
    </x:row>
    <x:row r="627">
      <x:c r="A627" s="33" t="str">
        <x:v>Power Cores</x:v>
      </x:c>
      <x:c r="B627" s="34" t="n">
        <x:v>6075</x:v>
      </x:c>
      <x:c r="C627" s="34" t="n">
        <x:v>6179525</x:v>
      </x:c>
      <x:c r="D627" s="34" t="n">
        <x:v>56</x:v>
      </x:c>
      <x:c r="E627" s="34" t="str">
        <x:v>IPPON</x:v>
      </x:c>
      <x:c r="F627" s="34" t="n">
        <x:v>19005</x:v>
      </x:c>
      <x:c r="G627" s="35" t="n">
        <x:f>IF(C627=0,0,F627/C627*B627)</x:f>
        <x:v>18.683535546826008</x:v>
      </x:c>
    </x:row>
    <x:row r="628">
      <x:c r="A628" s="33" t="str">
        <x:v>Power Cores</x:v>
      </x:c>
      <x:c r="B628" s="34" t="n">
        <x:v>6075</x:v>
      </x:c>
      <x:c r="C628" s="34" t="n">
        <x:v>6179525</x:v>
      </x:c>
      <x:c r="D628" s="34" t="n">
        <x:v>57</x:v>
      </x:c>
      <x:c r="E628" s="34" t="str">
        <x:v>JoxPT</x:v>
      </x:c>
      <x:c r="F628" s="34" t="n">
        <x:v>18041</x:v>
      </x:c>
      <x:c r="G628" s="35" t="n">
        <x:f>IF(C628=0,0,F628/C628*B628)</x:f>
        <x:v>17.7358413470291</x:v>
      </x:c>
    </x:row>
    <x:row r="629">
      <x:c r="A629" s="33" t="str">
        <x:v>Power Cores</x:v>
      </x:c>
      <x:c r="B629" s="34" t="n">
        <x:v>6075</x:v>
      </x:c>
      <x:c r="C629" s="34" t="n">
        <x:v>6179525</x:v>
      </x:c>
      <x:c r="D629" s="34" t="n">
        <x:v>58</x:v>
      </x:c>
      <x:c r="E629" s="34" t="str">
        <x:v>Lumen821</x:v>
      </x:c>
      <x:c r="F629" s="34" t="n">
        <x:v>17787</x:v>
      </x:c>
      <x:c r="G629" s="35" t="n">
        <x:f>IF(C629=0,0,F629/C629*B629)</x:f>
        <x:v>17.486137688576385</x:v>
      </x:c>
    </x:row>
    <x:row r="630">
      <x:c r="A630" s="33" t="str">
        <x:v>Power Cores</x:v>
      </x:c>
      <x:c r="B630" s="34" t="n">
        <x:v>6075</x:v>
      </x:c>
      <x:c r="C630" s="34" t="n">
        <x:v>6179525</x:v>
      </x:c>
      <x:c r="D630" s="34" t="n">
        <x:v>59</x:v>
      </x:c>
      <x:c r="E630" s="34" t="str">
        <x:v>avven1996</x:v>
      </x:c>
      <x:c r="F630" s="34" t="n">
        <x:v>17625</x:v>
      </x:c>
      <x:c r="G630" s="35" t="n">
        <x:f>IF(C630=0,0,F630/C630*B630)</x:f>
        <x:v>17.32687787491757</x:v>
      </x:c>
    </x:row>
    <x:row r="631">
      <x:c r="A631" s="33" t="str">
        <x:v>Power Cores</x:v>
      </x:c>
      <x:c r="B631" s="34" t="n">
        <x:v>6075</x:v>
      </x:c>
      <x:c r="C631" s="34" t="n">
        <x:v>6179525</x:v>
      </x:c>
      <x:c r="D631" s="34" t="n">
        <x:v>60</x:v>
      </x:c>
      <x:c r="E631" s="34" t="str">
        <x:v>MachoAlpha</x:v>
      </x:c>
      <x:c r="F631" s="34" t="n">
        <x:v>16894</x:v>
      </x:c>
      <x:c r="G631" s="35" t="n">
        <x:f>IF(C631=0,0,F631/C631*B631)</x:f>
        <x:v>16.608242542913896</x:v>
      </x:c>
    </x:row>
    <x:row r="632">
      <x:c r="A632" s="33" t="str">
        <x:v>Power Cores</x:v>
      </x:c>
      <x:c r="B632" s="34" t="n">
        <x:v>6075</x:v>
      </x:c>
      <x:c r="C632" s="34" t="n">
        <x:v>6179525</x:v>
      </x:c>
      <x:c r="D632" s="34" t="n">
        <x:v>61</x:v>
      </x:c>
      <x:c r="E632" s="34" t="str">
        <x:v>Kuntakint</x:v>
      </x:c>
      <x:c r="F632" s="34" t="n">
        <x:v>16786</x:v>
      </x:c>
      <x:c r="G632" s="35" t="n">
        <x:f>IF(C632=0,0,F632/C632*B632)</x:f>
        <x:v>16.50206933380802</x:v>
      </x:c>
    </x:row>
    <x:row r="633">
      <x:c r="A633" s="33" t="str">
        <x:v>Power Cores</x:v>
      </x:c>
      <x:c r="B633" s="34" t="n">
        <x:v>6075</x:v>
      </x:c>
      <x:c r="C633" s="34" t="n">
        <x:v>6179525</x:v>
      </x:c>
      <x:c r="D633" s="34" t="n">
        <x:v>62</x:v>
      </x:c>
      <x:c r="E633" s="34" t="str">
        <x:v>vitinraba</x:v>
      </x:c>
      <x:c r="F633" s="34" t="n">
        <x:v>15860</x:v>
      </x:c>
      <x:c r="G633" s="35" t="n">
        <x:f>IF(C633=0,0,F633/C633*B633)</x:f>
        <x:v>15.591732374252068</x:v>
      </x:c>
    </x:row>
    <x:row r="634">
      <x:c r="A634" s="33" t="str">
        <x:v>Power Cores</x:v>
      </x:c>
      <x:c r="B634" s="34" t="n">
        <x:v>6075</x:v>
      </x:c>
      <x:c r="C634" s="34" t="n">
        <x:v>6179525</x:v>
      </x:c>
      <x:c r="D634" s="34" t="n">
        <x:v>63</x:v>
      </x:c>
      <x:c r="E634" s="34" t="str">
        <x:v>WellITKD</x:v>
      </x:c>
      <x:c r="F634" s="34" t="n">
        <x:v>15253</x:v>
      </x:c>
      <x:c r="G634" s="35" t="n">
        <x:f>IF(C634=0,0,F634/C634*B634)</x:f>
        <x:v>14.994999615666254</x:v>
      </x:c>
    </x:row>
    <x:row r="635">
      <x:c r="A635" s="33" t="str">
        <x:v>Power Cores</x:v>
      </x:c>
      <x:c r="B635" s="34" t="n">
        <x:v>6075</x:v>
      </x:c>
      <x:c r="C635" s="34" t="n">
        <x:v>6179525</x:v>
      </x:c>
      <x:c r="D635" s="34" t="n">
        <x:v>64</x:v>
      </x:c>
      <x:c r="E635" s="34" t="str">
        <x:v>Hlinha</x:v>
      </x:c>
      <x:c r="F635" s="34" t="n">
        <x:v>15161</x:v>
      </x:c>
      <x:c r="G635" s="35" t="n">
        <x:f>IF(C635=0,0,F635/C635*B635)</x:f>
        <x:v>14.904555770872356</x:v>
      </x:c>
    </x:row>
    <x:row r="636">
      <x:c r="A636" s="33" t="str">
        <x:v>Power Cores</x:v>
      </x:c>
      <x:c r="B636" s="34" t="n">
        <x:v>6075</x:v>
      </x:c>
      <x:c r="C636" s="34" t="n">
        <x:v>6179525</x:v>
      </x:c>
      <x:c r="D636" s="34" t="n">
        <x:v>65</x:v>
      </x:c>
      <x:c r="E636" s="34" t="str">
        <x:v>morrty</x:v>
      </x:c>
      <x:c r="F636" s="34" t="n">
        <x:v>14367</x:v>
      </x:c>
      <x:c r="G636" s="35" t="n">
        <x:f>IF(C636=0,0,F636/C636*B636)</x:f>
        <x:v>14.123986066890254</x:v>
      </x:c>
    </x:row>
    <x:row r="637">
      <x:c r="A637" s="33" t="str">
        <x:v>Power Cores</x:v>
      </x:c>
      <x:c r="B637" s="34" t="n">
        <x:v>6075</x:v>
      </x:c>
      <x:c r="C637" s="34" t="n">
        <x:v>6179525</x:v>
      </x:c>
      <x:c r="D637" s="34" t="n">
        <x:v>66</x:v>
      </x:c>
      <x:c r="E637" s="34" t="str">
        <x:v>Superpk</x:v>
      </x:c>
      <x:c r="F637" s="34" t="n">
        <x:v>14213</x:v>
      </x:c>
      <x:c r="G637" s="35" t="n">
        <x:f>IF(C637=0,0,F637/C637*B637)</x:f>
        <x:v>13.972590935387428</x:v>
      </x:c>
    </x:row>
    <x:row r="638">
      <x:c r="A638" s="33" t="str">
        <x:v>Power Cores</x:v>
      </x:c>
      <x:c r="B638" s="34" t="n">
        <x:v>6075</x:v>
      </x:c>
      <x:c r="C638" s="34" t="n">
        <x:v>6179525</x:v>
      </x:c>
      <x:c r="D638" s="34" t="n">
        <x:v>67</x:v>
      </x:c>
      <x:c r="E638" s="34" t="str">
        <x:v>VULTO</x:v>
      </x:c>
      <x:c r="F638" s="34" t="n">
        <x:v>13929</x:v>
      </x:c>
      <x:c r="G638" s="35" t="n">
        <x:f>IF(C638=0,0,F638/C638*B638)</x:f>
        <x:v>13.693394718849751</x:v>
      </x:c>
    </x:row>
    <x:row r="639">
      <x:c r="A639" s="33" t="str">
        <x:v>Power Cores</x:v>
      </x:c>
      <x:c r="B639" s="34" t="n">
        <x:v>6075</x:v>
      </x:c>
      <x:c r="C639" s="34" t="n">
        <x:v>6179525</x:v>
      </x:c>
      <x:c r="D639" s="34" t="n">
        <x:v>68</x:v>
      </x:c>
      <x:c r="E639" s="34" t="str">
        <x:v>Merlinavo</x:v>
      </x:c>
      <x:c r="F639" s="34" t="n">
        <x:v>12869</x:v>
      </x:c>
      <x:c r="G639" s="35" t="n">
        <x:f>IF(C639=0,0,F639/C639*B639)</x:f>
        <x:v>12.65132433318095</x:v>
      </x:c>
    </x:row>
    <x:row r="640">
      <x:c r="A640" s="33" t="str">
        <x:v>Power Cores</x:v>
      </x:c>
      <x:c r="B640" s="34" t="n">
        <x:v>6075</x:v>
      </x:c>
      <x:c r="C640" s="34" t="n">
        <x:v>6179525</x:v>
      </x:c>
      <x:c r="D640" s="34" t="n">
        <x:v>69</x:v>
      </x:c>
      <x:c r="E640" s="34" t="str">
        <x:v>Xakalzin</x:v>
      </x:c>
      <x:c r="F640" s="34" t="n">
        <x:v>10558</x:v>
      </x:c>
      <x:c r="G640" s="35" t="n">
        <x:f>IF(C640=0,0,F640/C640*B640)</x:f>
        <x:v>10.379414275369061</x:v>
      </x:c>
    </x:row>
    <x:row r="641">
      <x:c r="A641" s="33" t="str">
        <x:v>Power Cores</x:v>
      </x:c>
      <x:c r="B641" s="34" t="n">
        <x:v>6075</x:v>
      </x:c>
      <x:c r="C641" s="34" t="n">
        <x:v>6179525</x:v>
      </x:c>
      <x:c r="D641" s="34" t="n">
        <x:v>70</x:v>
      </x:c>
      <x:c r="E641" s="34" t="str">
        <x:v>FullTime</x:v>
      </x:c>
      <x:c r="F641" s="34" t="n">
        <x:v>10064</x:v>
      </x:c>
      <x:c r="G641" s="35" t="n">
        <x:f>IF(C641=0,0,F641/C641*B641)</x:f>
        <x:v>9.89377015223662</x:v>
      </x:c>
    </x:row>
    <x:row r="642">
      <x:c r="A642" s="33" t="str">
        <x:v>Power Cores</x:v>
      </x:c>
      <x:c r="B642" s="34" t="n">
        <x:v>6075</x:v>
      </x:c>
      <x:c r="C642" s="34" t="n">
        <x:v>6179525</x:v>
      </x:c>
      <x:c r="D642" s="34" t="n">
        <x:v>71</x:v>
      </x:c>
      <x:c r="E642" s="34" t="str">
        <x:v>MonetaryMike</x:v>
      </x:c>
      <x:c r="F642" s="34" t="n">
        <x:v>9097</x:v>
      </x:c>
      <x:c r="G642" s="35" t="n">
        <x:f>IF(C642=0,0,F642/C642*B642)</x:f>
        <x:v>8.943126696631213</x:v>
      </x:c>
    </x:row>
    <x:row r="643">
      <x:c r="A643" s="33" t="str">
        <x:v>Power Cores</x:v>
      </x:c>
      <x:c r="B643" s="34" t="n">
        <x:v>6075</x:v>
      </x:c>
      <x:c r="C643" s="34" t="n">
        <x:v>6179525</x:v>
      </x:c>
      <x:c r="D643" s="34" t="n">
        <x:v>72</x:v>
      </x:c>
      <x:c r="E643" s="34" t="str">
        <x:v>NamikazePT</x:v>
      </x:c>
      <x:c r="F643" s="34" t="n">
        <x:v>8663</x:v>
      </x:c>
      <x:c r="G643" s="35" t="n">
        <x:f>IF(C643=0,0,F643/C643*B643)</x:f>
        <x:v>8.516467689668703</x:v>
      </x:c>
    </x:row>
    <x:row r="644">
      <x:c r="A644" s="33" t="str">
        <x:v>Power Cores</x:v>
      </x:c>
      <x:c r="B644" s="34" t="n">
        <x:v>6075</x:v>
      </x:c>
      <x:c r="C644" s="34" t="n">
        <x:v>6179525</x:v>
      </x:c>
      <x:c r="D644" s="34" t="n">
        <x:v>73</x:v>
      </x:c>
      <x:c r="E644" s="34" t="str">
        <x:v>executador</x:v>
      </x:c>
      <x:c r="F644" s="34" t="n">
        <x:v>8623</x:v>
      </x:c>
      <x:c r="G644" s="35" t="n">
        <x:f>IF(C644=0,0,F644/C644*B644)</x:f>
        <x:v>8.47714427888875</x:v>
      </x:c>
    </x:row>
    <x:row r="645">
      <x:c r="A645" s="33" t="str">
        <x:v>Power Cores</x:v>
      </x:c>
      <x:c r="B645" s="34" t="n">
        <x:v>6075</x:v>
      </x:c>
      <x:c r="C645" s="34" t="n">
        <x:v>6179525</x:v>
      </x:c>
      <x:c r="D645" s="34" t="n">
        <x:v>74</x:v>
      </x:c>
      <x:c r="E645" s="34" t="str">
        <x:v>OWERLORI123</x:v>
      </x:c>
      <x:c r="F645" s="34" t="n">
        <x:v>8447</x:v>
      </x:c>
      <x:c r="G645" s="35" t="n">
        <x:f>IF(C645=0,0,F645/C645*B645)</x:f>
        <x:v>8.304121271456948</x:v>
      </x:c>
    </x:row>
    <x:row r="646">
      <x:c r="A646" s="33" t="str">
        <x:v>Power Cores</x:v>
      </x:c>
      <x:c r="B646" s="34" t="n">
        <x:v>6075</x:v>
      </x:c>
      <x:c r="C646" s="34" t="n">
        <x:v>6179525</x:v>
      </x:c>
      <x:c r="D646" s="34" t="n">
        <x:v>75</x:v>
      </x:c>
      <x:c r="E646" s="34" t="str">
        <x:v>Nandixx</x:v>
      </x:c>
      <x:c r="F646" s="34" t="n">
        <x:v>8386</x:v>
      </x:c>
      <x:c r="G646" s="35" t="n">
        <x:f>IF(C646=0,0,F646/C646*B646)</x:f>
        <x:v>8.244153070017518</x:v>
      </x:c>
    </x:row>
    <x:row r="647">
      <x:c r="A647" s="33" t="str">
        <x:v>Power Cores</x:v>
      </x:c>
      <x:c r="B647" s="34" t="n">
        <x:v>6075</x:v>
      </x:c>
      <x:c r="C647" s="34" t="n">
        <x:v>6179525</x:v>
      </x:c>
      <x:c r="D647" s="34" t="n">
        <x:v>76</x:v>
      </x:c>
      <x:c r="E647" s="34" t="str">
        <x:v>BrunoAnulino</x:v>
      </x:c>
      <x:c r="F647" s="34" t="n">
        <x:v>7959</x:v>
      </x:c>
      <x:c r="G647" s="35" t="n">
        <x:f>IF(C647=0,0,F647/C647*B647)</x:f>
        <x:v>7.8243756599415</x:v>
      </x:c>
    </x:row>
    <x:row r="648">
      <x:c r="A648" s="33" t="str">
        <x:v>Power Cores</x:v>
      </x:c>
      <x:c r="B648" s="34" t="n">
        <x:v>6075</x:v>
      </x:c>
      <x:c r="C648" s="34" t="n">
        <x:v>6179525</x:v>
      </x:c>
      <x:c r="D648" s="34" t="n">
        <x:v>77</x:v>
      </x:c>
      <x:c r="E648" s="34" t="str">
        <x:v>Hachixi</x:v>
      </x:c>
      <x:c r="F648" s="34" t="n">
        <x:v>7770</x:v>
      </x:c>
      <x:c r="G648" s="35" t="n">
        <x:f>IF(C648=0,0,F648/C648*B648)</x:f>
        <x:v>7.638572544006213</x:v>
      </x:c>
    </x:row>
    <x:row r="649">
      <x:c r="A649" s="33" t="str">
        <x:v>Power Cores</x:v>
      </x:c>
      <x:c r="B649" s="34" t="n">
        <x:v>6075</x:v>
      </x:c>
      <x:c r="C649" s="34" t="n">
        <x:v>6179525</x:v>
      </x:c>
      <x:c r="D649" s="34" t="n">
        <x:v>78</x:v>
      </x:c>
      <x:c r="E649" s="34" t="str">
        <x:v>JORJAO</x:v>
      </x:c>
      <x:c r="F649" s="34" t="n">
        <x:v>7580</x:v>
      </x:c>
      <x:c r="G649" s="35" t="n">
        <x:f>IF(C649=0,0,F649/C649*B649)</x:f>
        <x:v>7.451786342801428</x:v>
      </x:c>
    </x:row>
    <x:row r="650">
      <x:c r="A650" s="33" t="str">
        <x:v>Power Cores</x:v>
      </x:c>
      <x:c r="B650" s="34" t="n">
        <x:v>6075</x:v>
      </x:c>
      <x:c r="C650" s="34" t="n">
        <x:v>6179525</x:v>
      </x:c>
      <x:c r="D650" s="34" t="n">
        <x:v>79</x:v>
      </x:c>
      <x:c r="E650" s="34" t="str">
        <x:v>OkiteKomi</x:v>
      </x:c>
      <x:c r="F650" s="34" t="n">
        <x:v>7400</x:v>
      </x:c>
      <x:c r="G650" s="35" t="n">
        <x:f>IF(C650=0,0,F650/C650*B650)</x:f>
        <x:v>7.274830994291633</x:v>
      </x:c>
    </x:row>
    <x:row r="651">
      <x:c r="A651" s="33" t="str">
        <x:v>Power Cores</x:v>
      </x:c>
      <x:c r="B651" s="34" t="n">
        <x:v>6075</x:v>
      </x:c>
      <x:c r="C651" s="34" t="n">
        <x:v>6179525</x:v>
      </x:c>
      <x:c r="D651" s="34" t="n">
        <x:v>80</x:v>
      </x:c>
      <x:c r="E651" s="34" t="str">
        <x:v>Jarjarjeanbon</x:v>
      </x:c>
      <x:c r="F651" s="34" t="n">
        <x:v>7391</x:v>
      </x:c>
      <x:c r="G651" s="35" t="n">
        <x:f>IF(C651=0,0,F651/C651*B651)</x:f>
        <x:v>7.265983226866143</x:v>
      </x:c>
    </x:row>
    <x:row r="652">
      <x:c r="A652" s="33" t="str">
        <x:v>Power Cores</x:v>
      </x:c>
      <x:c r="B652" s="34" t="n">
        <x:v>6075</x:v>
      </x:c>
      <x:c r="C652" s="34" t="n">
        <x:v>6179525</x:v>
      </x:c>
      <x:c r="D652" s="34" t="n">
        <x:v>81</x:v>
      </x:c>
      <x:c r="E652" s="34" t="str">
        <x:v>tfmPuniSHEr</x:v>
      </x:c>
      <x:c r="F652" s="34" t="n">
        <x:v>6159</x:v>
      </x:c>
      <x:c r="G652" s="35" t="n">
        <x:f>IF(C652=0,0,F652/C652*B652)</x:f>
        <x:v>6.054822174843536</x:v>
      </x:c>
    </x:row>
    <x:row r="653">
      <x:c r="A653" s="33" t="str">
        <x:v>Power Cores</x:v>
      </x:c>
      <x:c r="B653" s="34" t="n">
        <x:v>6075</x:v>
      </x:c>
      <x:c r="C653" s="34" t="n">
        <x:v>6179525</x:v>
      </x:c>
      <x:c r="D653" s="34" t="n">
        <x:v>82</x:v>
      </x:c>
      <x:c r="E653" s="34" t="str">
        <x:v>MaCiRoSKi</x:v>
      </x:c>
      <x:c r="F653" s="34" t="n">
        <x:v>6159</x:v>
      </x:c>
      <x:c r="G653" s="35" t="n">
        <x:f>IF(C653=0,0,F653/C653*B653)</x:f>
        <x:v>6.054822174843536</x:v>
      </x:c>
    </x:row>
    <x:row r="654">
      <x:c r="A654" s="33" t="str">
        <x:v>Power Cores</x:v>
      </x:c>
      <x:c r="B654" s="34" t="n">
        <x:v>6075</x:v>
      </x:c>
      <x:c r="C654" s="34" t="n">
        <x:v>6179525</x:v>
      </x:c>
      <x:c r="D654" s="34" t="n">
        <x:v>83</x:v>
      </x:c>
      <x:c r="E654" s="34" t="str">
        <x:v>Mavin</x:v>
      </x:c>
      <x:c r="F654" s="34" t="n">
        <x:v>6064</x:v>
      </x:c>
      <x:c r="G654" s="35" t="n">
        <x:f>IF(C654=0,0,F654/C654*B654)</x:f>
        <x:v>5.961429074241143</x:v>
      </x:c>
    </x:row>
    <x:row r="655">
      <x:c r="A655" s="33" t="str">
        <x:v>Power Cores</x:v>
      </x:c>
      <x:c r="B655" s="34" t="n">
        <x:v>6075</x:v>
      </x:c>
      <x:c r="C655" s="34" t="n">
        <x:v>6179525</x:v>
      </x:c>
      <x:c r="D655" s="34" t="n">
        <x:v>84</x:v>
      </x:c>
      <x:c r="E655" s="34" t="str">
        <x:v>Reguilla</x:v>
      </x:c>
      <x:c r="F655" s="34" t="n">
        <x:v>5721</x:v>
      </x:c>
      <x:c r="G655" s="35" t="n">
        <x:f>IF(C655=0,0,F655/C655*B655)</x:f>
        <x:v>5.62423082680303</x:v>
      </x:c>
    </x:row>
    <x:row r="656">
      <x:c r="A656" s="33" t="str">
        <x:v>Power Cores</x:v>
      </x:c>
      <x:c r="B656" s="34" t="n">
        <x:v>6075</x:v>
      </x:c>
      <x:c r="C656" s="34" t="n">
        <x:v>6179525</x:v>
      </x:c>
      <x:c r="D656" s="34" t="n">
        <x:v>85</x:v>
      </x:c>
      <x:c r="E656" s="34" t="str">
        <x:v>ROLEPLAY</x:v>
      </x:c>
      <x:c r="F656" s="34" t="n">
        <x:v>5685</x:v>
      </x:c>
      <x:c r="G656" s="35" t="n">
        <x:f>IF(C656=0,0,F656/C656*B656)</x:f>
        <x:v>5.588839757101072</x:v>
      </x:c>
    </x:row>
    <x:row r="657">
      <x:c r="A657" s="33" t="str">
        <x:v>Power Cores</x:v>
      </x:c>
      <x:c r="B657" s="34" t="n">
        <x:v>6075</x:v>
      </x:c>
      <x:c r="C657" s="34" t="n">
        <x:v>6179525</x:v>
      </x:c>
      <x:c r="D657" s="34" t="n">
        <x:v>86</x:v>
      </x:c>
      <x:c r="E657" s="34" t="str">
        <x:v>teessa</x:v>
      </x:c>
      <x:c r="F657" s="34" t="n">
        <x:v>5685</x:v>
      </x:c>
      <x:c r="G657" s="35" t="n">
        <x:f>IF(C657=0,0,F657/C657*B657)</x:f>
        <x:v>5.588839757101072</x:v>
      </x:c>
    </x:row>
    <x:row r="658">
      <x:c r="A658" s="33" t="str">
        <x:v>Power Cores</x:v>
      </x:c>
      <x:c r="B658" s="34" t="n">
        <x:v>6075</x:v>
      </x:c>
      <x:c r="C658" s="34" t="n">
        <x:v>6179525</x:v>
      </x:c>
      <x:c r="D658" s="34" t="n">
        <x:v>87</x:v>
      </x:c>
      <x:c r="E658" s="34" t="str">
        <x:v>nito19</x:v>
      </x:c>
      <x:c r="F658" s="34" t="n">
        <x:v>5279</x:v>
      </x:c>
      <x:c r="G658" s="35" t="n">
        <x:f>IF(C658=0,0,F658/C658*B658)</x:f>
        <x:v>5.189707137684531</x:v>
      </x:c>
    </x:row>
    <x:row r="659">
      <x:c r="A659" s="33" t="str">
        <x:v>Power Cores</x:v>
      </x:c>
      <x:c r="B659" s="34" t="n">
        <x:v>6075</x:v>
      </x:c>
      <x:c r="C659" s="34" t="n">
        <x:v>6179525</x:v>
      </x:c>
      <x:c r="D659" s="34" t="n">
        <x:v>88</x:v>
      </x:c>
      <x:c r="E659" s="34" t="str">
        <x:v>AmadaFoka</x:v>
      </x:c>
      <x:c r="F659" s="34" t="n">
        <x:v>4927</x:v>
      </x:c>
      <x:c r="G659" s="35" t="n">
        <x:f>IF(C659=0,0,F659/C659*B659)</x:f>
        <x:v>4.8436611228209285</x:v>
      </x:c>
    </x:row>
    <x:row r="660">
      <x:c r="A660" s="33" t="str">
        <x:v>Power Cores</x:v>
      </x:c>
      <x:c r="B660" s="34" t="n">
        <x:v>6075</x:v>
      </x:c>
      <x:c r="C660" s="34" t="n">
        <x:v>6179525</x:v>
      </x:c>
      <x:c r="D660" s="34" t="n">
        <x:v>89</x:v>
      </x:c>
      <x:c r="E660" s="34" t="str">
        <x:v>Telesss</x:v>
      </x:c>
      <x:c r="F660" s="34" t="n">
        <x:v>4548</x:v>
      </x:c>
      <x:c r="G660" s="35" t="n">
        <x:f>IF(C660=0,0,F660/C660*B660)</x:f>
        <x:v>4.471071805680857</x:v>
      </x:c>
    </x:row>
    <x:row r="661">
      <x:c r="A661" s="33" t="str">
        <x:v>Power Cores</x:v>
      </x:c>
      <x:c r="B661" s="34" t="n">
        <x:v>6075</x:v>
      </x:c>
      <x:c r="C661" s="34" t="n">
        <x:v>6179525</x:v>
      </x:c>
      <x:c r="D661" s="34" t="n">
        <x:v>90</x:v>
      </x:c>
      <x:c r="E661" s="34" t="str">
        <x:v>Lostmothers</x:v>
      </x:c>
      <x:c r="F661" s="34" t="n">
        <x:v>4548</x:v>
      </x:c>
      <x:c r="G661" s="35" t="n">
        <x:f>IF(C661=0,0,F661/C661*B661)</x:f>
        <x:v>4.471071805680857</x:v>
      </x:c>
    </x:row>
    <x:row r="662">
      <x:c r="A662" s="33" t="str">
        <x:v>Power Cores</x:v>
      </x:c>
      <x:c r="B662" s="34" t="n">
        <x:v>6075</x:v>
      </x:c>
      <x:c r="C662" s="34" t="n">
        <x:v>6179525</x:v>
      </x:c>
      <x:c r="D662" s="34" t="n">
        <x:v>91</x:v>
      </x:c>
      <x:c r="E662" s="34" t="str">
        <x:v>HolyGyat2324</x:v>
      </x:c>
      <x:c r="F662" s="34" t="n">
        <x:v>4085</x:v>
      </x:c>
      <x:c r="G662" s="35" t="n">
        <x:f>IF(C662=0,0,F662/C662*B662)</x:f>
        <x:v>4.0159033259028805</x:v>
      </x:c>
    </x:row>
    <x:row r="663">
      <x:c r="A663" s="33" t="str">
        <x:v>Power Cores</x:v>
      </x:c>
      <x:c r="B663" s="34" t="n">
        <x:v>6075</x:v>
      </x:c>
      <x:c r="C663" s="34" t="n">
        <x:v>6179525</x:v>
      </x:c>
      <x:c r="D663" s="34" t="n">
        <x:v>92</x:v>
      </x:c>
      <x:c r="E663" s="34" t="str">
        <x:v>TioTrymmi</x:v>
      </x:c>
      <x:c r="F663" s="34" t="n">
        <x:v>3980</x:v>
      </x:c>
      <x:c r="G663" s="35" t="n">
        <x:f>IF(C663=0,0,F663/C663*B663)</x:f>
        <x:v>3.912679372605499</x:v>
      </x:c>
    </x:row>
    <x:row r="664">
      <x:c r="A664" s="33" t="str">
        <x:v>Power Cores</x:v>
      </x:c>
      <x:c r="B664" s="34" t="n">
        <x:v>6075</x:v>
      </x:c>
      <x:c r="C664" s="34" t="n">
        <x:v>6179525</x:v>
      </x:c>
      <x:c r="D664" s="34" t="n">
        <x:v>93</x:v>
      </x:c>
      <x:c r="E664" s="34" t="str">
        <x:v>Madruguinha</x:v>
      </x:c>
      <x:c r="F664" s="34" t="n">
        <x:v>3790</x:v>
      </x:c>
      <x:c r="G664" s="35" t="n">
        <x:f>IF(C664=0,0,F664/C664*B664)</x:f>
        <x:v>3.725893171400714</x:v>
      </x:c>
    </x:row>
    <x:row r="665">
      <x:c r="A665" s="33" t="str">
        <x:v>Power Cores</x:v>
      </x:c>
      <x:c r="B665" s="34" t="n">
        <x:v>6075</x:v>
      </x:c>
      <x:c r="C665" s="34" t="n">
        <x:v>6179525</x:v>
      </x:c>
      <x:c r="D665" s="34" t="n">
        <x:v>94</x:v>
      </x:c>
      <x:c r="E665" s="34" t="str">
        <x:v>Porquitchona</x:v>
      </x:c>
      <x:c r="F665" s="34" t="n">
        <x:v>3460</x:v>
      </x:c>
      <x:c r="G665" s="35" t="n">
        <x:f>IF(C665=0,0,F665/C665*B665)</x:f>
        <x:v>3.401475032466087</x:v>
      </x:c>
    </x:row>
    <x:row r="666">
      <x:c r="A666" s="33" t="str">
        <x:v>Power Cores</x:v>
      </x:c>
      <x:c r="B666" s="34" t="n">
        <x:v>6075</x:v>
      </x:c>
      <x:c r="C666" s="34" t="n">
        <x:v>6179525</x:v>
      </x:c>
      <x:c r="D666" s="34" t="n">
        <x:v>95</x:v>
      </x:c>
      <x:c r="E666" s="34" t="str">
        <x:v>OlhaOPassarinho</x:v>
      </x:c>
      <x:c r="F666" s="34" t="n">
        <x:v>3364</x:v>
      </x:c>
      <x:c r="G666" s="35" t="n">
        <x:f>IF(C666=0,0,F666/C666*B666)</x:f>
        <x:v>3.307098846594196</x:v>
      </x:c>
    </x:row>
    <x:row r="667">
      <x:c r="A667" s="33" t="str">
        <x:v>Power Cores</x:v>
      </x:c>
      <x:c r="B667" s="34" t="n">
        <x:v>6075</x:v>
      </x:c>
      <x:c r="C667" s="34" t="n">
        <x:v>6179525</x:v>
      </x:c>
      <x:c r="D667" s="34" t="n">
        <x:v>96</x:v>
      </x:c>
      <x:c r="E667" s="34" t="str">
        <x:v>XIShanksXI</x:v>
      </x:c>
      <x:c r="F667" s="34" t="n">
        <x:v>2527</x:v>
      </x:c>
      <x:c r="G667" s="35" t="n">
        <x:f>IF(C667=0,0,F667/C667*B667)</x:f>
        <x:v>2.4842564760236425</x:v>
      </x:c>
    </x:row>
    <x:row r="668">
      <x:c r="A668" s="33" t="str">
        <x:v>Power Cores</x:v>
      </x:c>
      <x:c r="B668" s="34" t="n">
        <x:v>6075</x:v>
      </x:c>
      <x:c r="C668" s="34" t="n">
        <x:v>6179525</x:v>
      </x:c>
      <x:c r="D668" s="34" t="n">
        <x:v>97</x:v>
      </x:c>
      <x:c r="E668" s="34" t="str">
        <x:v>ToastT</x:v>
      </x:c>
      <x:c r="F668" s="34" t="n">
        <x:v>2274</x:v>
      </x:c>
      <x:c r="G668" s="35" t="n">
        <x:f>IF(C668=0,0,F668/C668*B668)</x:f>
        <x:v>2.2355359028404287</x:v>
      </x:c>
    </x:row>
    <x:row r="669">
      <x:c r="A669" s="33" t="str">
        <x:v>Power Cores</x:v>
      </x:c>
      <x:c r="B669" s="34" t="n">
        <x:v>6075</x:v>
      </x:c>
      <x:c r="C669" s="34" t="n">
        <x:v>6179525</x:v>
      </x:c>
      <x:c r="D669" s="34" t="n">
        <x:v>98</x:v>
      </x:c>
      <x:c r="E669" s="34" t="str">
        <x:v>Stresseed</x:v>
      </x:c>
      <x:c r="F669" s="34" t="n">
        <x:v>2112</x:v>
      </x:c>
      <x:c r="G669" s="35" t="n">
        <x:f>IF(C669=0,0,F669/C669*B669)</x:f>
        <x:v>2.076276089181612</x:v>
      </x:c>
    </x:row>
    <x:row r="670">
      <x:c r="A670" s="33" t="str">
        <x:v>Power Cores</x:v>
      </x:c>
      <x:c r="B670" s="34" t="n">
        <x:v>6075</x:v>
      </x:c>
      <x:c r="C670" s="34" t="n">
        <x:v>6179525</x:v>
      </x:c>
      <x:c r="D670" s="34" t="n">
        <x:v>99</x:v>
      </x:c>
      <x:c r="E670" s="34" t="str">
        <x:v>CunaPrata</x:v>
      </x:c>
      <x:c r="F670" s="34" t="n">
        <x:v>1895</x:v>
      </x:c>
      <x:c r="G670" s="35" t="n">
        <x:f>IF(C670=0,0,F670/C670*B670)</x:f>
        <x:v>1.862946585700357</x:v>
      </x:c>
    </x:row>
    <x:row r="671">
      <x:c r="A671" s="33" t="str">
        <x:v>Power Cores</x:v>
      </x:c>
      <x:c r="B671" s="34" t="n">
        <x:v>6075</x:v>
      </x:c>
      <x:c r="C671" s="34" t="n">
        <x:v>6179525</x:v>
      </x:c>
      <x:c r="D671" s="34" t="n">
        <x:v>100</x:v>
      </x:c>
      <x:c r="E671" s="34" t="str">
        <x:v>LuiziN</x:v>
      </x:c>
      <x:c r="F671" s="34" t="n">
        <x:v>1706</x:v>
      </x:c>
      <x:c r="G671" s="35" t="n">
        <x:f>IF(C671=0,0,F671/C671*B671)</x:f>
        <x:v>1.677143469765071</x:v>
      </x:c>
    </x:row>
    <x:row r="672">
      <x:c r="A672" s="33" t="str">
        <x:v>Power Cores</x:v>
      </x:c>
      <x:c r="B672" s="34" t="n">
        <x:v>6075</x:v>
      </x:c>
      <x:c r="C672" s="34" t="n">
        <x:v>6179525</x:v>
      </x:c>
      <x:c r="D672" s="34" t="n">
        <x:v>101</x:v>
      </x:c>
      <x:c r="E672" s="34" t="str">
        <x:v>JJWAR</x:v>
      </x:c>
      <x:c r="F672" s="34" t="n">
        <x:v>1508</x:v>
      </x:c>
      <x:c r="G672" s="35" t="n">
        <x:f>IF(C672=0,0,F672/C672*B672)</x:f>
        <x:v>1.4824925864042948</x:v>
      </x:c>
    </x:row>
    <x:row r="673">
      <x:c r="A673" s="33" t="str">
        <x:v>Power Cores</x:v>
      </x:c>
      <x:c r="B673" s="34" t="n">
        <x:v>6075</x:v>
      </x:c>
      <x:c r="C673" s="34" t="n">
        <x:v>6179525</x:v>
      </x:c>
      <x:c r="D673" s="34" t="n">
        <x:v>102</x:v>
      </x:c>
      <x:c r="E673" s="34" t="str">
        <x:v>jackTrip21</x:v>
      </x:c>
      <x:c r="F673" s="34" t="n">
        <x:v>886</x:v>
      </x:c>
      <x:c r="G673" s="35" t="n">
        <x:f>IF(C673=0,0,F673/C673*B673)</x:f>
        <x:v>0.8710135487759982</x:v>
      </x:c>
    </x:row>
    <x:row r="674">
      <x:c r="A674" s="33" t="str">
        <x:v>Tesouros Black</x:v>
      </x:c>
      <x:c r="B674" s="34" t="n">
        <x:v>5616</x:v>
      </x:c>
      <x:c r="C674" s="34" t="n">
        <x:v>3667207</x:v>
      </x:c>
      <x:c r="D674" s="34" t="n">
        <x:v>1</x:v>
      </x:c>
      <x:c r="E674" s="34" t="str">
        <x:v>Euhh</x:v>
      </x:c>
      <x:c r="F674" s="34" t="n">
        <x:v>177620</x:v>
      </x:c>
      <x:c r="G674" s="35" t="n">
        <x:f>IF(C674=0,0,F674/C674*B674)</x:f>
        <x:v>272.00916664916923</x:v>
      </x:c>
    </x:row>
    <x:row r="675">
      <x:c r="A675" s="33" t="str">
        <x:v>Tesouros Black</x:v>
      </x:c>
      <x:c r="B675" s="34" t="n">
        <x:v>5616</x:v>
      </x:c>
      <x:c r="C675" s="34" t="n">
        <x:v>3667207</x:v>
      </x:c>
      <x:c r="D675" s="34" t="n">
        <x:v>2</x:v>
      </x:c>
      <x:c r="E675" s="34" t="str">
        <x:v>TKZX</x:v>
      </x:c>
      <x:c r="F675" s="34" t="n">
        <x:v>148279</x:v>
      </x:c>
      <x:c r="G675" s="35" t="n">
        <x:f>IF(C675=0,0,F675/C675*B675)</x:f>
        <x:v>227.07604561182393</x:v>
      </x:c>
    </x:row>
    <x:row r="676">
      <x:c r="A676" s="33" t="str">
        <x:v>Tesouros Black</x:v>
      </x:c>
      <x:c r="B676" s="34" t="n">
        <x:v>5616</x:v>
      </x:c>
      <x:c r="C676" s="34" t="n">
        <x:v>3667207</x:v>
      </x:c>
      <x:c r="D676" s="34" t="n">
        <x:v>3</x:v>
      </x:c>
      <x:c r="E676" s="34" t="str">
        <x:v>hardfedles</x:v>
      </x:c>
      <x:c r="F676" s="34" t="n">
        <x:v>122546</x:v>
      </x:c>
      <x:c r="G676" s="35" t="n">
        <x:f>IF(C676=0,0,F676/C676*B676)</x:f>
        <x:v>187.668254341792</x:v>
      </x:c>
    </x:row>
    <x:row r="677">
      <x:c r="A677" s="33" t="str">
        <x:v>Tesouros Black</x:v>
      </x:c>
      <x:c r="B677" s="34" t="n">
        <x:v>5616</x:v>
      </x:c>
      <x:c r="C677" s="34" t="n">
        <x:v>3667207</x:v>
      </x:c>
      <x:c r="D677" s="34" t="n">
        <x:v>4</x:v>
      </x:c>
      <x:c r="E677" s="34" t="str">
        <x:v>jordansPt</x:v>
      </x:c>
      <x:c r="F677" s="34" t="n">
        <x:v>121422</x:v>
      </x:c>
      <x:c r="G677" s="35" t="n">
        <x:f>IF(C677=0,0,F677/C677*B677)</x:f>
        <x:v>185.94694872691943</x:v>
      </x:c>
    </x:row>
    <x:row r="678">
      <x:c r="A678" s="33" t="str">
        <x:v>Tesouros Black</x:v>
      </x:c>
      <x:c r="B678" s="34" t="n">
        <x:v>5616</x:v>
      </x:c>
      <x:c r="C678" s="34" t="n">
        <x:v>3667207</x:v>
      </x:c>
      <x:c r="D678" s="34" t="n">
        <x:v>5</x:v>
      </x:c>
      <x:c r="E678" s="34" t="str">
        <x:v>OniGuM000</x:v>
      </x:c>
      <x:c r="F678" s="34" t="n">
        <x:v>108500</x:v>
      </x:c>
      <x:c r="G678" s="35" t="n">
        <x:f>IF(C678=0,0,F678/C678*B678)</x:f>
        <x:v>166.1580597986424</x:v>
      </x:c>
    </x:row>
    <x:row r="679">
      <x:c r="A679" s="33" t="str">
        <x:v>Tesouros Black</x:v>
      </x:c>
      <x:c r="B679" s="34" t="n">
        <x:v>5616</x:v>
      </x:c>
      <x:c r="C679" s="34" t="n">
        <x:v>3667207</x:v>
      </x:c>
      <x:c r="D679" s="34" t="n">
        <x:v>6</x:v>
      </x:c>
      <x:c r="E679" s="34" t="str">
        <x:v>VnfaTI</x:v>
      </x:c>
      <x:c r="F679" s="34" t="n">
        <x:v>104171</x:v>
      </x:c>
      <x:c r="G679" s="35" t="n">
        <x:f>IF(C679=0,0,F679/C679*B679)</x:f>
        <x:v>159.52858292428</x:v>
      </x:c>
    </x:row>
    <x:row r="680">
      <x:c r="A680" s="33" t="str">
        <x:v>Tesouros Black</x:v>
      </x:c>
      <x:c r="B680" s="34" t="n">
        <x:v>5616</x:v>
      </x:c>
      <x:c r="C680" s="34" t="n">
        <x:v>3667207</x:v>
      </x:c>
      <x:c r="D680" s="34" t="n">
        <x:v>7</x:v>
      </x:c>
      <x:c r="E680" s="34" t="str">
        <x:v>Karz1N</x:v>
      </x:c>
      <x:c r="F680" s="34" t="n">
        <x:v>100001</x:v>
      </x:c>
      <x:c r="G680" s="35" t="n">
        <x:f>IF(C680=0,0,F680/C680*B680)</x:f>
        <x:v>153.1426003495303</x:v>
      </x:c>
    </x:row>
    <x:row r="681">
      <x:c r="A681" s="33" t="str">
        <x:v>Tesouros Black</x:v>
      </x:c>
      <x:c r="B681" s="34" t="n">
        <x:v>5616</x:v>
      </x:c>
      <x:c r="C681" s="34" t="n">
        <x:v>3667207</x:v>
      </x:c>
      <x:c r="D681" s="34" t="n">
        <x:v>8</x:v>
      </x:c>
      <x:c r="E681" s="34" t="str">
        <x:v>MatMac</x:v>
      </x:c>
      <x:c r="F681" s="34" t="n">
        <x:v>87913</x:v>
      </x:c>
      <x:c r="G681" s="35" t="n">
        <x:f>IF(C681=0,0,F681/C681*B681)</x:f>
        <x:v>134.63090793620322</x:v>
      </x:c>
    </x:row>
    <x:row r="682">
      <x:c r="A682" s="33" t="str">
        <x:v>Tesouros Black</x:v>
      </x:c>
      <x:c r="B682" s="34" t="n">
        <x:v>5616</x:v>
      </x:c>
      <x:c r="C682" s="34" t="n">
        <x:v>3667207</x:v>
      </x:c>
      <x:c r="D682" s="34" t="n">
        <x:v>9</x:v>
      </x:c>
      <x:c r="E682" s="34" t="str">
        <x:v>A2ar</x:v>
      </x:c>
      <x:c r="F682" s="34" t="n">
        <x:v>87863</x:v>
      </x:c>
      <x:c r="G682" s="35" t="n">
        <x:f>IF(C682=0,0,F682/C682*B682)</x:f>
        <x:v>134.5543374017338</x:v>
      </x:c>
    </x:row>
    <x:row r="683">
      <x:c r="A683" s="33" t="str">
        <x:v>Tesouros Black</x:v>
      </x:c>
      <x:c r="B683" s="34" t="n">
        <x:v>5616</x:v>
      </x:c>
      <x:c r="C683" s="34" t="n">
        <x:v>3667207</x:v>
      </x:c>
      <x:c r="D683" s="34" t="n">
        <x:v>10</x:v>
      </x:c>
      <x:c r="E683" s="34" t="str">
        <x:v>lordkiller01</x:v>
      </x:c>
      <x:c r="F683" s="34" t="n">
        <x:v>83954</x:v>
      </x:c>
      <x:c r="G683" s="35" t="n">
        <x:f>IF(C683=0,0,F683/C683*B683)</x:f>
        <x:v>128.5680530169145</x:v>
      </x:c>
    </x:row>
    <x:row r="684">
      <x:c r="A684" s="33" t="str">
        <x:v>Tesouros Black</x:v>
      </x:c>
      <x:c r="B684" s="34" t="n">
        <x:v>5616</x:v>
      </x:c>
      <x:c r="C684" s="34" t="n">
        <x:v>3667207</x:v>
      </x:c>
      <x:c r="D684" s="34" t="n">
        <x:v>11</x:v>
      </x:c>
      <x:c r="E684" s="34" t="str">
        <x:v>Nagacaburos</x:v>
      </x:c>
      <x:c r="F684" s="34" t="n">
        <x:v>81780</x:v>
      </x:c>
      <x:c r="G684" s="35" t="n">
        <x:f>IF(C684=0,0,F684/C684*B684)</x:f>
        <x:v>125.23876617818411</x:v>
      </x:c>
    </x:row>
    <x:row r="685">
      <x:c r="A685" s="33" t="str">
        <x:v>Tesouros Black</x:v>
      </x:c>
      <x:c r="B685" s="34" t="n">
        <x:v>5616</x:v>
      </x:c>
      <x:c r="C685" s="34" t="n">
        <x:v>3667207</x:v>
      </x:c>
      <x:c r="D685" s="34" t="n">
        <x:v>12</x:v>
      </x:c>
      <x:c r="E685" s="34" t="str">
        <x:v>dsn</x:v>
      </x:c>
      <x:c r="F685" s="34" t="n">
        <x:v>78024</x:v>
      </x:c>
      <x:c r="G685" s="35" t="n">
        <x:f>IF(C685=0,0,F685/C685*B685)</x:f>
        <x:v>119.48678762884123</x:v>
      </x:c>
    </x:row>
    <x:row r="686">
      <x:c r="A686" s="33" t="str">
        <x:v>Tesouros Black</x:v>
      </x:c>
      <x:c r="B686" s="34" t="n">
        <x:v>5616</x:v>
      </x:c>
      <x:c r="C686" s="34" t="n">
        <x:v>3667207</x:v>
      </x:c>
      <x:c r="D686" s="34" t="n">
        <x:v>13</x:v>
      </x:c>
      <x:c r="E686" s="34" t="str">
        <x:v>Jmbv</x:v>
      </x:c>
      <x:c r="F686" s="34" t="n">
        <x:v>75833</x:v>
      </x:c>
      <x:c r="G686" s="35" t="n">
        <x:f>IF(C686=0,0,F686/C686*B686)</x:f>
        <x:v>116.13146680839124</x:v>
      </x:c>
    </x:row>
    <x:row r="687">
      <x:c r="A687" s="33" t="str">
        <x:v>Tesouros Black</x:v>
      </x:c>
      <x:c r="B687" s="34" t="n">
        <x:v>5616</x:v>
      </x:c>
      <x:c r="C687" s="34" t="n">
        <x:v>3667207</x:v>
      </x:c>
      <x:c r="D687" s="34" t="n">
        <x:v>14</x:v>
      </x:c>
      <x:c r="E687" s="34" t="str">
        <x:v>Tmaiusculo</x:v>
      </x:c>
      <x:c r="F687" s="34" t="n">
        <x:v>74378</x:v>
      </x:c>
      <x:c r="G687" s="35" t="n">
        <x:f>IF(C687=0,0,F687/C687*B687)</x:f>
        <x:v>113.9032642553311</x:v>
      </x:c>
    </x:row>
    <x:row r="688">
      <x:c r="A688" s="33" t="str">
        <x:v>Tesouros Black</x:v>
      </x:c>
      <x:c r="B688" s="34" t="n">
        <x:v>5616</x:v>
      </x:c>
      <x:c r="C688" s="34" t="n">
        <x:v>3667207</x:v>
      </x:c>
      <x:c r="D688" s="34" t="n">
        <x:v>15</x:v>
      </x:c>
      <x:c r="E688" s="34" t="str">
        <x:v>jairrodrigo</x:v>
      </x:c>
      <x:c r="F688" s="34" t="n">
        <x:v>67473</x:v>
      </x:c>
      <x:c r="G688" s="35" t="n">
        <x:f>IF(C688=0,0,F688/C688*B688)</x:f>
        <x:v>103.32887344510412</x:v>
      </x:c>
    </x:row>
    <x:row r="689">
      <x:c r="A689" s="33" t="str">
        <x:v>Tesouros Black</x:v>
      </x:c>
      <x:c r="B689" s="34" t="n">
        <x:v>5616</x:v>
      </x:c>
      <x:c r="C689" s="34" t="n">
        <x:v>3667207</x:v>
      </x:c>
      <x:c r="D689" s="34" t="n">
        <x:v>16</x:v>
      </x:c>
      <x:c r="E689" s="34" t="str">
        <x:v>SerpentVeil</x:v>
      </x:c>
      <x:c r="F689" s="34" t="n">
        <x:v>66657</x:v>
      </x:c>
      <x:c r="G689" s="35" t="n">
        <x:f>IF(C689=0,0,F689/C689*B689)</x:f>
        <x:v>102.07924232256319</x:v>
      </x:c>
    </x:row>
    <x:row r="690">
      <x:c r="A690" s="33" t="str">
        <x:v>Tesouros Black</x:v>
      </x:c>
      <x:c r="B690" s="34" t="n">
        <x:v>5616</x:v>
      </x:c>
      <x:c r="C690" s="34" t="n">
        <x:v>3667207</x:v>
      </x:c>
      <x:c r="D690" s="34" t="n">
        <x:v>17</x:v>
      </x:c>
      <x:c r="E690" s="34" t="str">
        <x:v>KuNaKiNa</x:v>
      </x:c>
      <x:c r="F690" s="34" t="n">
        <x:v>65833</x:v>
      </x:c>
      <x:c r="G690" s="35" t="n">
        <x:f>IF(C690=0,0,F690/C690*B690)</x:f>
        <x:v>100.81735991450715</x:v>
      </x:c>
    </x:row>
    <x:row r="691">
      <x:c r="A691" s="33" t="str">
        <x:v>Tesouros Black</x:v>
      </x:c>
      <x:c r="B691" s="34" t="n">
        <x:v>5616</x:v>
      </x:c>
      <x:c r="C691" s="34" t="n">
        <x:v>3667207</x:v>
      </x:c>
      <x:c r="D691" s="34" t="n">
        <x:v>18</x:v>
      </x:c>
      <x:c r="E691" s="34" t="str">
        <x:v>imdonedontkillme</x:v>
      </x:c>
      <x:c r="F691" s="34" t="n">
        <x:v>65817</x:v>
      </x:c>
      <x:c r="G691" s="35" t="n">
        <x:f>IF(C691=0,0,F691/C691*B691)</x:f>
        <x:v>100.79285734347692</x:v>
      </x:c>
    </x:row>
    <x:row r="692">
      <x:c r="A692" s="33" t="str">
        <x:v>Tesouros Black</x:v>
      </x:c>
      <x:c r="B692" s="34" t="n">
        <x:v>5616</x:v>
      </x:c>
      <x:c r="C692" s="34" t="n">
        <x:v>3667207</x:v>
      </x:c>
      <x:c r="D692" s="34" t="n">
        <x:v>19</x:v>
      </x:c>
      <x:c r="E692" s="34" t="str">
        <x:v>Hi6or</x:v>
      </x:c>
      <x:c r="F692" s="34" t="n">
        <x:v>65466</x:v>
      </x:c>
      <x:c r="G692" s="35" t="n">
        <x:f>IF(C692=0,0,F692/C692*B692)</x:f>
        <x:v>100.25533219150161</x:v>
      </x:c>
    </x:row>
    <x:row r="693">
      <x:c r="A693" s="33" t="str">
        <x:v>Tesouros Black</x:v>
      </x:c>
      <x:c r="B693" s="34" t="n">
        <x:v>5616</x:v>
      </x:c>
      <x:c r="C693" s="34" t="n">
        <x:v>3667207</x:v>
      </x:c>
      <x:c r="D693" s="34" t="n">
        <x:v>20</x:v>
      </x:c>
      <x:c r="E693" s="34" t="str">
        <x:v>Dorfiuses</x:v>
      </x:c>
      <x:c r="F693" s="34" t="n">
        <x:v>59621</x:v>
      </x:c>
      <x:c r="G693" s="35" t="n">
        <x:f>IF(C693=0,0,F693/C693*B693)</x:f>
        <x:v>91.30423671202634</x:v>
      </x:c>
    </x:row>
    <x:row r="694">
      <x:c r="A694" s="33" t="str">
        <x:v>Tesouros Black</x:v>
      </x:c>
      <x:c r="B694" s="34" t="n">
        <x:v>5616</x:v>
      </x:c>
      <x:c r="C694" s="34" t="n">
        <x:v>3667207</x:v>
      </x:c>
      <x:c r="D694" s="34" t="n">
        <x:v>21</x:v>
      </x:c>
      <x:c r="E694" s="34" t="str">
        <x:v>MonetaryMike</x:v>
      </x:c>
      <x:c r="F694" s="34" t="n">
        <x:v>59603</x:v>
      </x:c>
      <x:c r="G694" s="35" t="n">
        <x:f>IF(C694=0,0,F694/C694*B694)</x:f>
        <x:v>91.27667131961735</x:v>
      </x:c>
    </x:row>
    <x:row r="695">
      <x:c r="A695" s="33" t="str">
        <x:v>Tesouros Black</x:v>
      </x:c>
      <x:c r="B695" s="34" t="n">
        <x:v>5616</x:v>
      </x:c>
      <x:c r="C695" s="34" t="n">
        <x:v>3667207</x:v>
      </x:c>
      <x:c r="D695" s="34" t="n">
        <x:v>22</x:v>
      </x:c>
      <x:c r="E695" s="34" t="str">
        <x:v>PlantsTK</x:v>
      </x:c>
      <x:c r="F695" s="34" t="n">
        <x:v>58426</x:v>
      </x:c>
      <x:c r="G695" s="35" t="n">
        <x:f>IF(C695=0,0,F695/C695*B695)</x:f>
        <x:v>89.47420093820719</x:v>
      </x:c>
    </x:row>
    <x:row r="696">
      <x:c r="A696" s="33" t="str">
        <x:v>Tesouros Black</x:v>
      </x:c>
      <x:c r="B696" s="34" t="n">
        <x:v>5616</x:v>
      </x:c>
      <x:c r="C696" s="34" t="n">
        <x:v>3667207</x:v>
      </x:c>
      <x:c r="D696" s="34" t="n">
        <x:v>23</x:v>
      </x:c>
      <x:c r="E696" s="34" t="str">
        <x:v>minhafemea1</x:v>
      </x:c>
      <x:c r="F696" s="34" t="n">
        <x:v>57435</x:v>
      </x:c>
      <x:c r="G696" s="35" t="n">
        <x:f>IF(C696=0,0,F696/C696*B696)</x:f>
        <x:v>87.9565729450233</x:v>
      </x:c>
    </x:row>
    <x:row r="697">
      <x:c r="A697" s="33" t="str">
        <x:v>Tesouros Black</x:v>
      </x:c>
      <x:c r="B697" s="34" t="n">
        <x:v>5616</x:v>
      </x:c>
      <x:c r="C697" s="34" t="n">
        <x:v>3667207</x:v>
      </x:c>
      <x:c r="D697" s="34" t="n">
        <x:v>24</x:v>
      </x:c>
      <x:c r="E697" s="34" t="str">
        <x:v>LEOPOLD</x:v>
      </x:c>
      <x:c r="F697" s="34" t="n">
        <x:v>53390</x:v>
      </x:c>
      <x:c r="G697" s="35" t="n">
        <x:f>IF(C697=0,0,F697/C697*B697)</x:f>
        <x:v>81.76201670644717</x:v>
      </x:c>
    </x:row>
    <x:row r="698">
      <x:c r="A698" s="33" t="str">
        <x:v>Tesouros Black</x:v>
      </x:c>
      <x:c r="B698" s="34" t="n">
        <x:v>5616</x:v>
      </x:c>
      <x:c r="C698" s="34" t="n">
        <x:v>3667207</x:v>
      </x:c>
      <x:c r="D698" s="34" t="n">
        <x:v>25</x:v>
      </x:c>
      <x:c r="E698" s="34" t="str">
        <x:v>BSAIGunner</x:v>
      </x:c>
      <x:c r="F698" s="34" t="n">
        <x:v>47850</x:v>
      </x:c>
      <x:c r="G698" s="35" t="n">
        <x:f>IF(C698=0,0,F698/C698*B698)</x:f>
        <x:v>73.27800148723537</x:v>
      </x:c>
    </x:row>
    <x:row r="699">
      <x:c r="A699" s="33" t="str">
        <x:v>Tesouros Black</x:v>
      </x:c>
      <x:c r="B699" s="34" t="n">
        <x:v>5616</x:v>
      </x:c>
      <x:c r="C699" s="34" t="n">
        <x:v>3667207</x:v>
      </x:c>
      <x:c r="D699" s="34" t="n">
        <x:v>26</x:v>
      </x:c>
      <x:c r="E699" s="34" t="str">
        <x:v>Akuma1000</x:v>
      </x:c>
      <x:c r="F699" s="34" t="n">
        <x:v>46190</x:v>
      </x:c>
      <x:c r="G699" s="35" t="n">
        <x:f>IF(C699=0,0,F699/C699*B699)</x:f>
        <x:v>70.73585974285062</x:v>
      </x:c>
    </x:row>
    <x:row r="700">
      <x:c r="A700" s="33" t="str">
        <x:v>Tesouros Black</x:v>
      </x:c>
      <x:c r="B700" s="34" t="n">
        <x:v>5616</x:v>
      </x:c>
      <x:c r="C700" s="34" t="n">
        <x:v>3667207</x:v>
      </x:c>
      <x:c r="D700" s="34" t="n">
        <x:v>27</x:v>
      </x:c>
      <x:c r="E700" s="34" t="str">
        <x:v>Soldier027</x:v>
      </x:c>
      <x:c r="F700" s="34" t="n">
        <x:v>42899</x:v>
      </x:c>
      <x:c r="G700" s="35" t="n">
        <x:f>IF(C700=0,0,F700/C700*B700)</x:f>
        <x:v>65.69598716407336</x:v>
      </x:c>
    </x:row>
    <x:row r="701">
      <x:c r="A701" s="33" t="str">
        <x:v>Tesouros Black</x:v>
      </x:c>
      <x:c r="B701" s="34" t="n">
        <x:v>5616</x:v>
      </x:c>
      <x:c r="C701" s="34" t="n">
        <x:v>3667207</x:v>
      </x:c>
      <x:c r="D701" s="34" t="n">
        <x:v>28</x:v>
      </x:c>
      <x:c r="E701" s="34" t="str">
        <x:v>Lamusk</x:v>
      </x:c>
      <x:c r="F701" s="34" t="n">
        <x:v>41935</x:v>
      </x:c>
      <x:c r="G701" s="35" t="n">
        <x:f>IF(C701=0,0,F701/C701*B701)</x:f>
        <x:v>64.21970725950294</x:v>
      </x:c>
    </x:row>
    <x:row r="702">
      <x:c r="A702" s="33" t="str">
        <x:v>Tesouros Black</x:v>
      </x:c>
      <x:c r="B702" s="34" t="n">
        <x:v>5616</x:v>
      </x:c>
      <x:c r="C702" s="34" t="n">
        <x:v>3667207</x:v>
      </x:c>
      <x:c r="D702" s="34" t="n">
        <x:v>29</x:v>
      </x:c>
      <x:c r="E702" s="34" t="str">
        <x:v>MARIOMALAN</x:v>
      </x:c>
      <x:c r="F702" s="34" t="n">
        <x:v>38845</x:v>
      </x:c>
      <x:c r="G702" s="35" t="n">
        <x:f>IF(C702=0,0,F702/C702*B702)</x:f>
        <x:v>59.48764822929275</x:v>
      </x:c>
    </x:row>
    <x:row r="703">
      <x:c r="A703" s="33" t="str">
        <x:v>Tesouros Black</x:v>
      </x:c>
      <x:c r="B703" s="34" t="n">
        <x:v>5616</x:v>
      </x:c>
      <x:c r="C703" s="34" t="n">
        <x:v>3667207</x:v>
      </x:c>
      <x:c r="D703" s="34" t="n">
        <x:v>30</x:v>
      </x:c>
      <x:c r="E703" s="34" t="str">
        <x:v>Superpk</x:v>
      </x:c>
      <x:c r="F703" s="34" t="n">
        <x:v>37817</x:v>
      </x:c>
      <x:c r="G703" s="35" t="n">
        <x:f>IF(C703=0,0,F703/C703*B703)</x:f>
        <x:v>57.913358040601466</x:v>
      </x:c>
    </x:row>
    <x:row r="704">
      <x:c r="A704" s="33" t="str">
        <x:v>Tesouros Black</x:v>
      </x:c>
      <x:c r="B704" s="34" t="n">
        <x:v>5616</x:v>
      </x:c>
      <x:c r="C704" s="34" t="n">
        <x:v>3667207</x:v>
      </x:c>
      <x:c r="D704" s="34" t="n">
        <x:v>31</x:v>
      </x:c>
      <x:c r="E704" s="34" t="str">
        <x:v>theYousek</x:v>
      </x:c>
      <x:c r="F704" s="34" t="n">
        <x:v>37029</x:v>
      </x:c>
      <x:c r="G704" s="35" t="n">
        <x:f>IF(C704=0,0,F704/C704*B704)</x:f>
        <x:v>56.7066064173634</x:v>
      </x:c>
    </x:row>
    <x:row r="705">
      <x:c r="A705" s="33" t="str">
        <x:v>Tesouros Black</x:v>
      </x:c>
      <x:c r="B705" s="34" t="n">
        <x:v>5616</x:v>
      </x:c>
      <x:c r="C705" s="34" t="n">
        <x:v>3667207</x:v>
      </x:c>
      <x:c r="D705" s="34" t="n">
        <x:v>32</x:v>
      </x:c>
      <x:c r="E705" s="34" t="str">
        <x:v>Jabiroca1</x:v>
      </x:c>
      <x:c r="F705" s="34" t="n">
        <x:v>34720</x:v>
      </x:c>
      <x:c r="G705" s="35" t="n">
        <x:f>IF(C705=0,0,F705/C705*B705)</x:f>
        <x:v>53.17057913556557</x:v>
      </x:c>
    </x:row>
    <x:row r="706">
      <x:c r="A706" s="33" t="str">
        <x:v>Tesouros Black</x:v>
      </x:c>
      <x:c r="B706" s="34" t="n">
        <x:v>5616</x:v>
      </x:c>
      <x:c r="C706" s="34" t="n">
        <x:v>3667207</x:v>
      </x:c>
      <x:c r="D706" s="34" t="n">
        <x:v>33</x:v>
      </x:c>
      <x:c r="E706" s="34" t="str">
        <x:v>OlhaOPassarinho</x:v>
      </x:c>
      <x:c r="F706" s="34" t="n">
        <x:v>34332</x:v>
      </x:c>
      <x:c r="G706" s="35" t="n">
        <x:f>IF(C706=0,0,F706/C706*B706)</x:f>
        <x:v>52.576391788082866</x:v>
      </x:c>
    </x:row>
    <x:row r="707">
      <x:c r="A707" s="33" t="str">
        <x:v>Tesouros Black</x:v>
      </x:c>
      <x:c r="B707" s="34" t="n">
        <x:v>5616</x:v>
      </x:c>
      <x:c r="C707" s="34" t="n">
        <x:v>3667207</x:v>
      </x:c>
      <x:c r="D707" s="34" t="n">
        <x:v>34</x:v>
      </x:c>
      <x:c r="E707" s="34" t="str">
        <x:v>goncalves23</x:v>
      </x:c>
      <x:c r="F707" s="34" t="n">
        <x:v>33371</x:v>
      </x:c>
      <x:c r="G707" s="35" t="n">
        <x:f>IF(C707=0,0,F707/C707*B707)</x:f>
        <x:v>51.1047061155806</x:v>
      </x:c>
    </x:row>
    <x:row r="708">
      <x:c r="A708" s="33" t="str">
        <x:v>Tesouros Black</x:v>
      </x:c>
      <x:c r="B708" s="34" t="n">
        <x:v>5616</x:v>
      </x:c>
      <x:c r="C708" s="34" t="n">
        <x:v>3667207</x:v>
      </x:c>
      <x:c r="D708" s="34" t="n">
        <x:v>35</x:v>
      </x:c>
      <x:c r="E708" s="34" t="str">
        <x:v>maicon1357</x:v>
      </x:c>
      <x:c r="F708" s="34" t="n">
        <x:v>31790</x:v>
      </x:c>
      <x:c r="G708" s="35" t="n">
        <x:f>IF(C708=0,0,F708/C708*B708)</x:f>
        <x:v>48.68354581565753</x:v>
      </x:c>
    </x:row>
    <x:row r="709">
      <x:c r="A709" s="33" t="str">
        <x:v>Tesouros Black</x:v>
      </x:c>
      <x:c r="B709" s="34" t="n">
        <x:v>5616</x:v>
      </x:c>
      <x:c r="C709" s="34" t="n">
        <x:v>3667207</x:v>
      </x:c>
      <x:c r="D709" s="34" t="n">
        <x:v>36</x:v>
      </x:c>
      <x:c r="E709" s="34" t="str">
        <x:v>Sabedoria7</x:v>
      </x:c>
      <x:c r="F709" s="34" t="n">
        <x:v>30580</x:v>
      </x:c>
      <x:c r="G709" s="35" t="n">
        <x:f>IF(C709=0,0,F709/C709*B709)</x:f>
        <x:v>46.83053888149755</x:v>
      </x:c>
    </x:row>
    <x:row r="710">
      <x:c r="A710" s="33" t="str">
        <x:v>Tesouros Black</x:v>
      </x:c>
      <x:c r="B710" s="34" t="n">
        <x:v>5616</x:v>
      </x:c>
      <x:c r="C710" s="34" t="n">
        <x:v>3667207</x:v>
      </x:c>
      <x:c r="D710" s="34" t="n">
        <x:v>37</x:v>
      </x:c>
      <x:c r="E710" s="34" t="str">
        <x:v>Patolas</x:v>
      </x:c>
      <x:c r="F710" s="34" t="n">
        <x:v>30470</x:v>
      </x:c>
      <x:c r="G710" s="35" t="n">
        <x:f>IF(C710=0,0,F710/C710*B710)</x:f>
        <x:v>46.66208370566483</x:v>
      </x:c>
    </x:row>
    <x:row r="711">
      <x:c r="A711" s="33" t="str">
        <x:v>Tesouros Black</x:v>
      </x:c>
      <x:c r="B711" s="34" t="n">
        <x:v>5616</x:v>
      </x:c>
      <x:c r="C711" s="34" t="n">
        <x:v>3667207</x:v>
      </x:c>
      <x:c r="D711" s="34" t="n">
        <x:v>38</x:v>
      </x:c>
      <x:c r="E711" s="34" t="str">
        <x:v>Cominhos</x:v>
      </x:c>
      <x:c r="F711" s="34" t="n">
        <x:v>30293</x:v>
      </x:c>
      <x:c r="G711" s="35" t="n">
        <x:f>IF(C711=0,0,F711/C711*B711)</x:f>
        <x:v>46.391024013643076</x:v>
      </x:c>
    </x:row>
    <x:row r="712">
      <x:c r="A712" s="33" t="str">
        <x:v>Tesouros Black</x:v>
      </x:c>
      <x:c r="B712" s="34" t="n">
        <x:v>5616</x:v>
      </x:c>
      <x:c r="C712" s="34" t="n">
        <x:v>3667207</x:v>
      </x:c>
      <x:c r="D712" s="34" t="n">
        <x:v>39</x:v>
      </x:c>
      <x:c r="E712" s="34" t="str">
        <x:v>jokker1998</x:v>
      </x:c>
      <x:c r="F712" s="34" t="n">
        <x:v>29388</x:v>
      </x:c>
      <x:c r="G712" s="35" t="n">
        <x:f>IF(C712=0,0,F712/C712*B712)</x:f>
        <x:v>45.00509733974657</x:v>
      </x:c>
    </x:row>
    <x:row r="713">
      <x:c r="A713" s="33" t="str">
        <x:v>Tesouros Black</x:v>
      </x:c>
      <x:c r="B713" s="34" t="n">
        <x:v>5616</x:v>
      </x:c>
      <x:c r="C713" s="34" t="n">
        <x:v>3667207</x:v>
      </x:c>
      <x:c r="D713" s="34" t="n">
        <x:v>40</x:v>
      </x:c>
      <x:c r="E713" s="34" t="str">
        <x:v>MaxHardcore</x:v>
      </x:c>
      <x:c r="F713" s="34" t="n">
        <x:v>27773</x:v>
      </x:c>
      <x:c r="G713" s="35" t="n">
        <x:f>IF(C713=0,0,F713/C713*B713)</x:f>
        <x:v>42.53186907638429</x:v>
      </x:c>
    </x:row>
    <x:row r="714">
      <x:c r="A714" s="33" t="str">
        <x:v>Tesouros Black</x:v>
      </x:c>
      <x:c r="B714" s="34" t="n">
        <x:v>5616</x:v>
      </x:c>
      <x:c r="C714" s="34" t="n">
        <x:v>3667207</x:v>
      </x:c>
      <x:c r="D714" s="34" t="n">
        <x:v>41</x:v>
      </x:c>
      <x:c r="E714" s="34" t="str">
        <x:v>3YS4N</x:v>
      </x:c>
      <x:c r="F714" s="34" t="n">
        <x:v>27519</x:v>
      </x:c>
      <x:c r="G714" s="35" t="n">
        <x:f>IF(C714=0,0,F714/C714*B714)</x:f>
        <x:v>42.14289076127963</x:v>
      </x:c>
    </x:row>
    <x:row r="715">
      <x:c r="A715" s="33" t="str">
        <x:v>Tesouros Black</x:v>
      </x:c>
      <x:c r="B715" s="34" t="n">
        <x:v>5616</x:v>
      </x:c>
      <x:c r="C715" s="34" t="n">
        <x:v>3667207</x:v>
      </x:c>
      <x:c r="D715" s="34" t="n">
        <x:v>42</x:v>
      </x:c>
      <x:c r="E715" s="34" t="str">
        <x:v>Temperamental</x:v>
      </x:c>
      <x:c r="F715" s="34" t="n">
        <x:v>27014</x:v>
      </x:c>
      <x:c r="G715" s="35" t="n">
        <x:f>IF(C715=0,0,F715/C715*B715)</x:f>
        <x:v>41.369528363138485</x:v>
      </x:c>
    </x:row>
    <x:row r="716">
      <x:c r="A716" s="33" t="str">
        <x:v>Tesouros Black</x:v>
      </x:c>
      <x:c r="B716" s="34" t="n">
        <x:v>5616</x:v>
      </x:c>
      <x:c r="C716" s="34" t="n">
        <x:v>3667207</x:v>
      </x:c>
      <x:c r="D716" s="34" t="n">
        <x:v>43</x:v>
      </x:c>
      <x:c r="E716" s="34" t="str">
        <x:v>Natsury</x:v>
      </x:c>
      <x:c r="F716" s="34" t="n">
        <x:v>25074</x:v>
      </x:c>
      <x:c r="G716" s="35" t="n">
        <x:f>IF(C716=0,0,F716/C716*B716)</x:f>
        <x:v>38.398591625724976</x:v>
      </x:c>
    </x:row>
    <x:row r="717">
      <x:c r="A717" s="33" t="str">
        <x:v>Tesouros Black</x:v>
      </x:c>
      <x:c r="B717" s="34" t="n">
        <x:v>5616</x:v>
      </x:c>
      <x:c r="C717" s="34" t="n">
        <x:v>3667207</x:v>
      </x:c>
      <x:c r="D717" s="34" t="n">
        <x:v>44</x:v>
      </x:c>
      <x:c r="E717" s="34" t="str">
        <x:v>VTracer</x:v>
      </x:c>
      <x:c r="F717" s="34" t="n">
        <x:v>24984</x:v>
      </x:c>
      <x:c r="G717" s="35" t="n">
        <x:f>IF(C717=0,0,F717/C717*B717)</x:f>
        <x:v>38.260764663680014</x:v>
      </x:c>
    </x:row>
    <x:row r="718">
      <x:c r="A718" s="33" t="str">
        <x:v>Tesouros Black</x:v>
      </x:c>
      <x:c r="B718" s="34" t="n">
        <x:v>5616</x:v>
      </x:c>
      <x:c r="C718" s="34" t="n">
        <x:v>3667207</x:v>
      </x:c>
      <x:c r="D718" s="34" t="n">
        <x:v>45</x:v>
      </x:c>
      <x:c r="E718" s="34" t="str">
        <x:v>BrEnnD</x:v>
      </x:c>
      <x:c r="F718" s="34" t="n">
        <x:v>24975</x:v>
      </x:c>
      <x:c r="G718" s="35" t="n">
        <x:f>IF(C718=0,0,F718/C718*B718)</x:f>
        <x:v>38.24698196747552</x:v>
      </x:c>
    </x:row>
    <x:row r="719">
      <x:c r="A719" s="33" t="str">
        <x:v>Tesouros Black</x:v>
      </x:c>
      <x:c r="B719" s="34" t="n">
        <x:v>5616</x:v>
      </x:c>
      <x:c r="C719" s="34" t="n">
        <x:v>3667207</x:v>
      </x:c>
      <x:c r="D719" s="34" t="n">
        <x:v>46</x:v>
      </x:c>
      <x:c r="E719" s="34" t="str">
        <x:v>Grockyy</x:v>
      </x:c>
      <x:c r="F719" s="34" t="n">
        <x:v>24645</x:v>
      </x:c>
      <x:c r="G719" s="35" t="n">
        <x:f>IF(C719=0,0,F719/C719*B719)</x:f>
        <x:v>37.74161643997734</x:v>
      </x:c>
    </x:row>
    <x:row r="720">
      <x:c r="A720" s="33" t="str">
        <x:v>Tesouros Black</x:v>
      </x:c>
      <x:c r="B720" s="34" t="n">
        <x:v>5616</x:v>
      </x:c>
      <x:c r="C720" s="34" t="n">
        <x:v>3667207</x:v>
      </x:c>
      <x:c r="D720" s="34" t="n">
        <x:v>47</x:v>
      </x:c>
      <x:c r="E720" s="34" t="str">
        <x:v>Nandixx</x:v>
      </x:c>
      <x:c r="F720" s="34" t="n">
        <x:v>23647</x:v>
      </x:c>
      <x:c r="G720" s="35" t="n">
        <x:f>IF(C720=0,0,F720/C720*B720)</x:f>
        <x:v>36.21326857196772</x:v>
      </x:c>
    </x:row>
    <x:row r="721">
      <x:c r="A721" s="33" t="str">
        <x:v>Tesouros Black</x:v>
      </x:c>
      <x:c r="B721" s="34" t="n">
        <x:v>5616</x:v>
      </x:c>
      <x:c r="C721" s="34" t="n">
        <x:v>3667207</x:v>
      </x:c>
      <x:c r="D721" s="34" t="n">
        <x:v>48</x:v>
      </x:c>
      <x:c r="E721" s="34" t="str">
        <x:v>Djwd</x:v>
      </x:c>
      <x:c r="F721" s="34" t="n">
        <x:v>23134</x:v>
      </x:c>
      <x:c r="G721" s="35" t="n">
        <x:f>IF(C721=0,0,F721/C721*B721)</x:f>
        <x:v>35.42765488831146</x:v>
      </x:c>
    </x:row>
    <x:row r="722">
      <x:c r="A722" s="33" t="str">
        <x:v>Tesouros Black</x:v>
      </x:c>
      <x:c r="B722" s="34" t="n">
        <x:v>5616</x:v>
      </x:c>
      <x:c r="C722" s="34" t="n">
        <x:v>3667207</x:v>
      </x:c>
      <x:c r="D722" s="34" t="n">
        <x:v>49</x:v>
      </x:c>
      <x:c r="E722" s="34" t="str">
        <x:v>Yuangii</x:v>
      </x:c>
      <x:c r="F722" s="34" t="n">
        <x:v>22083</x:v>
      </x:c>
      <x:c r="G722" s="35" t="n">
        <x:f>IF(C722=0,0,F722/C722*B722)</x:f>
        <x:v>33.81814225376424</x:v>
      </x:c>
    </x:row>
    <x:row r="723">
      <x:c r="A723" s="33" t="str">
        <x:v>Tesouros Black</x:v>
      </x:c>
      <x:c r="B723" s="34" t="n">
        <x:v>5616</x:v>
      </x:c>
      <x:c r="C723" s="34" t="n">
        <x:v>3667207</x:v>
      </x:c>
      <x:c r="D723" s="34" t="n">
        <x:v>50</x:v>
      </x:c>
      <x:c r="E723" s="34" t="str">
        <x:v>WarlockLord</x:v>
      </x:c>
      <x:c r="F723" s="34" t="n">
        <x:v>21469</x:v>
      </x:c>
      <x:c r="G723" s="35" t="n">
        <x:f>IF(C723=0,0,F723/C723*B723)</x:f>
        <x:v>32.87785609047976</x:v>
      </x:c>
    </x:row>
    <x:row r="724">
      <x:c r="A724" s="33" t="str">
        <x:v>Tesouros Black</x:v>
      </x:c>
      <x:c r="B724" s="34" t="n">
        <x:v>5616</x:v>
      </x:c>
      <x:c r="C724" s="34" t="n">
        <x:v>3667207</x:v>
      </x:c>
      <x:c r="D724" s="34" t="n">
        <x:v>51</x:v>
      </x:c>
      <x:c r="E724" s="34" t="str">
        <x:v>LipeFuab</x:v>
      </x:c>
      <x:c r="F724" s="34" t="n">
        <x:v>20654</x:v>
      </x:c>
      <x:c r="G724" s="35" t="n">
        <x:f>IF(C724=0,0,F724/C724*B724)</x:f>
        <x:v>31.629756378628205</x:v>
      </x:c>
    </x:row>
    <x:row r="725">
      <x:c r="A725" s="33" t="str">
        <x:v>Tesouros Black</x:v>
      </x:c>
      <x:c r="B725" s="34" t="n">
        <x:v>5616</x:v>
      </x:c>
      <x:c r="C725" s="34" t="n">
        <x:v>3667207</x:v>
      </x:c>
      <x:c r="D725" s="34" t="n">
        <x:v>52</x:v>
      </x:c>
      <x:c r="E725" s="34" t="str">
        <x:v>avven1996</x:v>
      </x:c>
      <x:c r="F725" s="34" t="n">
        <x:v>20231</x:v>
      </x:c>
      <x:c r="G725" s="35" t="n">
        <x:f>IF(C725=0,0,F725/C725*B725)</x:f>
        <x:v>30.981969657016908</x:v>
      </x:c>
    </x:row>
    <x:row r="726">
      <x:c r="A726" s="33" t="str">
        <x:v>Tesouros Black</x:v>
      </x:c>
      <x:c r="B726" s="34" t="n">
        <x:v>5616</x:v>
      </x:c>
      <x:c r="C726" s="34" t="n">
        <x:v>3667207</x:v>
      </x:c>
      <x:c r="D726" s="34" t="n">
        <x:v>53</x:v>
      </x:c>
      <x:c r="E726" s="34" t="str">
        <x:v>zBrunooHD</x:v>
      </x:c>
      <x:c r="F726" s="34" t="n">
        <x:v>20140</x:v>
      </x:c>
      <x:c r="G726" s="35" t="n">
        <x:f>IF(C726=0,0,F726/C726*B726)</x:f>
        <x:v>30.84261128428256</x:v>
      </x:c>
    </x:row>
    <x:row r="727">
      <x:c r="A727" s="33" t="str">
        <x:v>Tesouros Black</x:v>
      </x:c>
      <x:c r="B727" s="34" t="n">
        <x:v>5616</x:v>
      </x:c>
      <x:c r="C727" s="34" t="n">
        <x:v>3667207</x:v>
      </x:c>
      <x:c r="D727" s="34" t="n">
        <x:v>54</x:v>
      </x:c>
      <x:c r="E727" s="34" t="str">
        <x:v>MachoAlpha</x:v>
      </x:c>
      <x:c r="F727" s="34" t="n">
        <x:v>20037</x:v>
      </x:c>
      <x:c r="G727" s="35" t="n">
        <x:f>IF(C727=0,0,F727/C727*B727)</x:f>
        <x:v>30.684875983275557</x:v>
      </x:c>
    </x:row>
    <x:row r="728">
      <x:c r="A728" s="33" t="str">
        <x:v>Tesouros Black</x:v>
      </x:c>
      <x:c r="B728" s="34" t="n">
        <x:v>5616</x:v>
      </x:c>
      <x:c r="C728" s="34" t="n">
        <x:v>3667207</x:v>
      </x:c>
      <x:c r="D728" s="34" t="n">
        <x:v>55</x:v>
      </x:c>
      <x:c r="E728" s="34" t="str">
        <x:v>RullinSKiLL</x:v>
      </x:c>
      <x:c r="F728" s="34" t="n">
        <x:v>18858</x:v>
      </x:c>
      <x:c r="G728" s="35" t="n">
        <x:f>IF(C728=0,0,F728/C728*B728)</x:f>
        <x:v>28.87934278048662</x:v>
      </x:c>
    </x:row>
    <x:row r="729">
      <x:c r="A729" s="33" t="str">
        <x:v>Tesouros Black</x:v>
      </x:c>
      <x:c r="B729" s="34" t="n">
        <x:v>5616</x:v>
      </x:c>
      <x:c r="C729" s="34" t="n">
        <x:v>3667207</x:v>
      </x:c>
      <x:c r="D729" s="34" t="n">
        <x:v>56</x:v>
      </x:c>
      <x:c r="E729" s="34" t="str">
        <x:v>NamikazePT</x:v>
      </x:c>
      <x:c r="F729" s="34" t="n">
        <x:v>18227</x:v>
      </x:c>
      <x:c r="G729" s="35" t="n">
        <x:f>IF(C729=0,0,F729/C729*B729)</x:f>
        <x:v>27.913022635482537</x:v>
      </x:c>
    </x:row>
    <x:row r="730">
      <x:c r="A730" s="33" t="str">
        <x:v>Tesouros Black</x:v>
      </x:c>
      <x:c r="B730" s="34" t="n">
        <x:v>5616</x:v>
      </x:c>
      <x:c r="C730" s="34" t="n">
        <x:v>3667207</x:v>
      </x:c>
      <x:c r="D730" s="34" t="n">
        <x:v>57</x:v>
      </x:c>
      <x:c r="E730" s="34" t="str">
        <x:v>MYLOLA262</x:v>
      </x:c>
      <x:c r="F730" s="34" t="n">
        <x:v>18187</x:v>
      </x:c>
      <x:c r="G730" s="35" t="n">
        <x:f>IF(C730=0,0,F730/C730*B730)</x:f>
        <x:v>27.851766207906998</x:v>
      </x:c>
    </x:row>
    <x:row r="731">
      <x:c r="A731" s="33" t="str">
        <x:v>Tesouros Black</x:v>
      </x:c>
      <x:c r="B731" s="34" t="n">
        <x:v>5616</x:v>
      </x:c>
      <x:c r="C731" s="34" t="n">
        <x:v>3667207</x:v>
      </x:c>
      <x:c r="D731" s="34" t="n">
        <x:v>58</x:v>
      </x:c>
      <x:c r="E731" s="34" t="str">
        <x:v>Xakalzin</x:v>
      </x:c>
      <x:c r="F731" s="34" t="n">
        <x:v>18068</x:v>
      </x:c>
      <x:c r="G731" s="35" t="n">
        <x:f>IF(C731=0,0,F731/C731*B731)</x:f>
        <x:v>27.669528335869778</x:v>
      </x:c>
    </x:row>
    <x:row r="732">
      <x:c r="A732" s="33" t="str">
        <x:v>Tesouros Black</x:v>
      </x:c>
      <x:c r="B732" s="34" t="n">
        <x:v>5616</x:v>
      </x:c>
      <x:c r="C732" s="34" t="n">
        <x:v>3667207</x:v>
      </x:c>
      <x:c r="D732" s="34" t="n">
        <x:v>59</x:v>
      </x:c>
      <x:c r="E732" s="34" t="str">
        <x:v>Amakv</x:v>
      </x:c>
      <x:c r="F732" s="34" t="n">
        <x:v>17661</x:v>
      </x:c>
      <x:c r="G732" s="35" t="n">
        <x:f>IF(C732=0,0,F732/C732*B732)</x:f>
        <x:v>27.046244185288696</x:v>
      </x:c>
    </x:row>
    <x:row r="733">
      <x:c r="A733" s="33" t="str">
        <x:v>Tesouros Black</x:v>
      </x:c>
      <x:c r="B733" s="34" t="n">
        <x:v>5616</x:v>
      </x:c>
      <x:c r="C733" s="34" t="n">
        <x:v>3667207</x:v>
      </x:c>
      <x:c r="D733" s="34" t="n">
        <x:v>60</x:v>
      </x:c>
      <x:c r="E733" s="34" t="str">
        <x:v>jrfate</x:v>
      </x:c>
      <x:c r="F733" s="34" t="n">
        <x:v>17338</x:v>
      </x:c>
      <x:c r="G733" s="35" t="n">
        <x:f>IF(C733=0,0,F733/C733*B733)</x:f>
        <x:v>26.55159853261624</x:v>
      </x:c>
    </x:row>
    <x:row r="734">
      <x:c r="A734" s="33" t="str">
        <x:v>Tesouros Black</x:v>
      </x:c>
      <x:c r="B734" s="34" t="n">
        <x:v>5616</x:v>
      </x:c>
      <x:c r="C734" s="34" t="n">
        <x:v>3667207</x:v>
      </x:c>
      <x:c r="D734" s="34" t="n">
        <x:v>61</x:v>
      </x:c>
      <x:c r="E734" s="34" t="str">
        <x:v>SeuDanadoo</x:v>
      </x:c>
      <x:c r="F734" s="34" t="n">
        <x:v>16969</x:v>
      </x:c>
      <x:c r="G734" s="35" t="n">
        <x:f>IF(C734=0,0,F734/C734*B734)</x:f>
        <x:v>25.986507988231914</x:v>
      </x:c>
    </x:row>
    <x:row r="735">
      <x:c r="A735" s="33" t="str">
        <x:v>Tesouros Black</x:v>
      </x:c>
      <x:c r="B735" s="34" t="n">
        <x:v>5616</x:v>
      </x:c>
      <x:c r="C735" s="34" t="n">
        <x:v>3667207</x:v>
      </x:c>
      <x:c r="D735" s="34" t="n">
        <x:v>62</x:v>
      </x:c>
      <x:c r="E735" s="34" t="str">
        <x:v>Reguilla</x:v>
      </x:c>
      <x:c r="F735" s="34" t="n">
        <x:v>16616</x:v>
      </x:c>
      <x:c r="G735" s="35" t="n">
        <x:f>IF(C735=0,0,F735/C735*B735)</x:f>
        <x:v>25.44592001487781</x:v>
      </x:c>
    </x:row>
    <x:row r="736">
      <x:c r="A736" s="33" t="str">
        <x:v>Tesouros Black</x:v>
      </x:c>
      <x:c r="B736" s="34" t="n">
        <x:v>5616</x:v>
      </x:c>
      <x:c r="C736" s="34" t="n">
        <x:v>3667207</x:v>
      </x:c>
      <x:c r="D736" s="34" t="n">
        <x:v>63</x:v>
      </x:c>
      <x:c r="E736" s="34" t="str">
        <x:v>AnjoThall</x:v>
      </x:c>
      <x:c r="F736" s="34" t="n">
        <x:v>16209</x:v>
      </x:c>
      <x:c r="G736" s="35" t="n">
        <x:f>IF(C736=0,0,F736/C736*B736)</x:f>
        <x:v>24.822635864296725</x:v>
      </x:c>
    </x:row>
    <x:row r="737">
      <x:c r="A737" s="33" t="str">
        <x:v>Tesouros Black</x:v>
      </x:c>
      <x:c r="B737" s="34" t="n">
        <x:v>5616</x:v>
      </x:c>
      <x:c r="C737" s="34" t="n">
        <x:v>3667207</x:v>
      </x:c>
      <x:c r="D737" s="34" t="n">
        <x:v>64</x:v>
      </x:c>
      <x:c r="E737" s="34" t="str">
        <x:v>Guislave</x:v>
      </x:c>
      <x:c r="F737" s="34" t="n">
        <x:v>15912</x:v>
      </x:c>
      <x:c r="G737" s="35" t="n">
        <x:f>IF(C737=0,0,F737/C737*B737)</x:f>
        <x:v>24.367806889548365</x:v>
      </x:c>
    </x:row>
    <x:row r="738">
      <x:c r="A738" s="33" t="str">
        <x:v>Tesouros Black</x:v>
      </x:c>
      <x:c r="B738" s="34" t="n">
        <x:v>5616</x:v>
      </x:c>
      <x:c r="C738" s="34" t="n">
        <x:v>3667207</x:v>
      </x:c>
      <x:c r="D738" s="34" t="n">
        <x:v>65</x:v>
      </x:c>
      <x:c r="E738" s="34" t="str">
        <x:v>VULTO</x:v>
      </x:c>
      <x:c r="F738" s="34" t="n">
        <x:v>15205</x:v>
      </x:c>
      <x:c r="G738" s="35" t="n">
        <x:f>IF(C738=0,0,F738/C738*B738)</x:f>
        <x:v>23.285099532150763</x:v>
      </x:c>
    </x:row>
    <x:row r="739">
      <x:c r="A739" s="33" t="str">
        <x:v>Tesouros Black</x:v>
      </x:c>
      <x:c r="B739" s="34" t="n">
        <x:v>5616</x:v>
      </x:c>
      <x:c r="C739" s="34" t="n">
        <x:v>3667207</x:v>
      </x:c>
      <x:c r="D739" s="34" t="n">
        <x:v>66</x:v>
      </x:c>
      <x:c r="E739" s="34" t="str">
        <x:v>vadisley</x:v>
      </x:c>
      <x:c r="F739" s="34" t="n">
        <x:v>15051</x:v>
      </x:c>
      <x:c r="G739" s="35" t="n">
        <x:f>IF(C739=0,0,F739/C739*B739)</x:f>
        <x:v>23.04926228598495</x:v>
      </x:c>
    </x:row>
    <x:row r="740">
      <x:c r="A740" s="33" t="str">
        <x:v>Tesouros Black</x:v>
      </x:c>
      <x:c r="B740" s="34" t="n">
        <x:v>5616</x:v>
      </x:c>
      <x:c r="C740" s="34" t="n">
        <x:v>3667207</x:v>
      </x:c>
      <x:c r="D740" s="34" t="n">
        <x:v>67</x:v>
      </x:c>
      <x:c r="E740" s="34" t="str">
        <x:v>BBob</x:v>
      </x:c>
      <x:c r="F740" s="34" t="n">
        <x:v>14975</x:v>
      </x:c>
      <x:c r="G740" s="35" t="n">
        <x:f>IF(C740=0,0,F740/C740*B740)</x:f>
        <x:v>22.932875073591426</x:v>
      </x:c>
    </x:row>
    <x:row r="741">
      <x:c r="A741" s="33" t="str">
        <x:v>Tesouros Black</x:v>
      </x:c>
      <x:c r="B741" s="34" t="n">
        <x:v>5616</x:v>
      </x:c>
      <x:c r="C741" s="34" t="n">
        <x:v>3667207</x:v>
      </x:c>
      <x:c r="D741" s="34" t="n">
        <x:v>68</x:v>
      </x:c>
      <x:c r="E741" s="34" t="str">
        <x:v>Davimix</x:v>
      </x:c>
      <x:c r="F741" s="34" t="n">
        <x:v>14958</x:v>
      </x:c>
      <x:c r="G741" s="35" t="n">
        <x:f>IF(C741=0,0,F741/C741*B741)</x:f>
        <x:v>22.906841091871826</x:v>
      </x:c>
    </x:row>
    <x:row r="742">
      <x:c r="A742" s="33" t="str">
        <x:v>Tesouros Black</x:v>
      </x:c>
      <x:c r="B742" s="34" t="n">
        <x:v>5616</x:v>
      </x:c>
      <x:c r="C742" s="34" t="n">
        <x:v>3667207</x:v>
      </x:c>
      <x:c r="D742" s="34" t="n">
        <x:v>69</x:v>
      </x:c>
      <x:c r="E742" s="34" t="str">
        <x:v>julszthaone</x:v>
      </x:c>
      <x:c r="F742" s="34" t="n">
        <x:v>14922</x:v>
      </x:c>
      <x:c r="G742" s="35" t="n">
        <x:f>IF(C742=0,0,F742/C742*B742)</x:f>
        <x:v>22.851710307053846</x:v>
      </x:c>
    </x:row>
    <x:row r="743">
      <x:c r="A743" s="33" t="str">
        <x:v>Tesouros Black</x:v>
      </x:c>
      <x:c r="B743" s="34" t="n">
        <x:v>5616</x:v>
      </x:c>
      <x:c r="C743" s="34" t="n">
        <x:v>3667207</x:v>
      </x:c>
      <x:c r="D743" s="34" t="n">
        <x:v>70</x:v>
      </x:c>
      <x:c r="E743" s="34" t="str">
        <x:v>Stresseed</x:v>
      </x:c>
      <x:c r="F743" s="34" t="n">
        <x:v>14878</x:v>
      </x:c>
      <x:c r="G743" s="35" t="n">
        <x:f>IF(C743=0,0,F743/C743*B743)</x:f>
        <x:v>22.78432823672075</x:v>
      </x:c>
    </x:row>
    <x:row r="744">
      <x:c r="A744" s="33" t="str">
        <x:v>Tesouros Black</x:v>
      </x:c>
      <x:c r="B744" s="34" t="n">
        <x:v>5616</x:v>
      </x:c>
      <x:c r="C744" s="34" t="n">
        <x:v>3667207</x:v>
      </x:c>
      <x:c r="D744" s="34" t="n">
        <x:v>71</x:v>
      </x:c>
      <x:c r="E744" s="34" t="str">
        <x:v>OkiteKomi</x:v>
      </x:c>
      <x:c r="F744" s="34" t="n">
        <x:v>14071</x:v>
      </x:c>
      <x:c r="G744" s="35" t="n">
        <x:f>IF(C744=0,0,F744/C744*B744)</x:f>
        <x:v>21.548479810384304</x:v>
      </x:c>
    </x:row>
    <x:row r="745">
      <x:c r="A745" s="33" t="str">
        <x:v>Tesouros Black</x:v>
      </x:c>
      <x:c r="B745" s="34" t="n">
        <x:v>5616</x:v>
      </x:c>
      <x:c r="C745" s="34" t="n">
        <x:v>3667207</x:v>
      </x:c>
      <x:c r="D745" s="34" t="n">
        <x:v>72</x:v>
      </x:c>
      <x:c r="E745" s="34" t="str">
        <x:v>zNeii</x:v>
      </x:c>
      <x:c r="F745" s="34" t="n">
        <x:v>12932</x:v>
      </x:c>
      <x:c r="G745" s="35" t="n">
        <x:f>IF(C745=0,0,F745/C745*B745)</x:f>
        <x:v>19.804203035170907</x:v>
      </x:c>
    </x:row>
    <x:row r="746">
      <x:c r="A746" s="33" t="str">
        <x:v>Tesouros Black</x:v>
      </x:c>
      <x:c r="B746" s="34" t="n">
        <x:v>5616</x:v>
      </x:c>
      <x:c r="C746" s="34" t="n">
        <x:v>3667207</x:v>
      </x:c>
      <x:c r="D746" s="34" t="n">
        <x:v>73</x:v>
      </x:c>
      <x:c r="E746" s="34" t="str">
        <x:v>Tuga95</x:v>
      </x:c>
      <x:c r="F746" s="34" t="n">
        <x:v>11688</x:v>
      </x:c>
      <x:c r="G746" s="35" t="n">
        <x:f>IF(C746=0,0,F746/C746*B746)</x:f>
        <x:v>17.899128137571726</x:v>
      </x:c>
    </x:row>
    <x:row r="747">
      <x:c r="A747" s="33" t="str">
        <x:v>Tesouros Black</x:v>
      </x:c>
      <x:c r="B747" s="34" t="n">
        <x:v>5616</x:v>
      </x:c>
      <x:c r="C747" s="34" t="n">
        <x:v>3667207</x:v>
      </x:c>
      <x:c r="D747" s="34" t="n">
        <x:v>74</x:v>
      </x:c>
      <x:c r="E747" s="34" t="str">
        <x:v>IPPON</x:v>
      </x:c>
      <x:c r="F747" s="34" t="n">
        <x:v>11628</x:v>
      </x:c>
      <x:c r="G747" s="35" t="n">
        <x:f>IF(C747=0,0,F747/C747*B747)</x:f>
        <x:v>17.80724349620842</x:v>
      </x:c>
    </x:row>
    <x:row r="748">
      <x:c r="A748" s="33" t="str">
        <x:v>Tesouros Black</x:v>
      </x:c>
      <x:c r="B748" s="34" t="n">
        <x:v>5616</x:v>
      </x:c>
      <x:c r="C748" s="34" t="n">
        <x:v>3667207</x:v>
      </x:c>
      <x:c r="D748" s="34" t="n">
        <x:v>75</x:v>
      </x:c>
      <x:c r="E748" s="34" t="str">
        <x:v>Sum0l</x:v>
      </x:c>
      <x:c r="F748" s="34" t="n">
        <x:v>11045</x:v>
      </x:c>
      <x:c r="G748" s="35" t="n">
        <x:f>IF(C748=0,0,F748/C748*B748)</x:f>
        <x:v>16.91443106429498</x:v>
      </x:c>
    </x:row>
    <x:row r="749">
      <x:c r="A749" s="33" t="str">
        <x:v>Tesouros Black</x:v>
      </x:c>
      <x:c r="B749" s="34" t="n">
        <x:v>5616</x:v>
      </x:c>
      <x:c r="C749" s="34" t="n">
        <x:v>3667207</x:v>
      </x:c>
      <x:c r="D749" s="34" t="n">
        <x:v>76</x:v>
      </x:c>
      <x:c r="E749" s="34" t="str">
        <x:v>Julioczr</x:v>
      </x:c>
      <x:c r="F749" s="34" t="n">
        <x:v>10804</x:v>
      </x:c>
      <x:c r="G749" s="35" t="n">
        <x:f>IF(C749=0,0,F749/C749*B749)</x:f>
        <x:v>16.545361088152376</x:v>
      </x:c>
    </x:row>
    <x:row r="750">
      <x:c r="A750" s="33" t="str">
        <x:v>Tesouros Black</x:v>
      </x:c>
      <x:c r="B750" s="34" t="n">
        <x:v>5616</x:v>
      </x:c>
      <x:c r="C750" s="34" t="n">
        <x:v>3667207</x:v>
      </x:c>
      <x:c r="D750" s="34" t="n">
        <x:v>77</x:v>
      </x:c>
      <x:c r="E750" s="34" t="str">
        <x:v>SuSex</x:v>
      </x:c>
      <x:c r="F750" s="34" t="n">
        <x:v>9929</x:v>
      </x:c>
      <x:c r="G750" s="35" t="n">
        <x:f>IF(C750=0,0,F750/C750*B750)</x:f>
        <x:v>15.205376734937515</x:v>
      </x:c>
    </x:row>
    <x:row r="751">
      <x:c r="A751" s="33" t="str">
        <x:v>Tesouros Black</x:v>
      </x:c>
      <x:c r="B751" s="34" t="n">
        <x:v>5616</x:v>
      </x:c>
      <x:c r="C751" s="34" t="n">
        <x:v>3667207</x:v>
      </x:c>
      <x:c r="D751" s="34" t="n">
        <x:v>78</x:v>
      </x:c>
      <x:c r="E751" s="34" t="str">
        <x:v>Lumen821</x:v>
      </x:c>
      <x:c r="F751" s="34" t="n">
        <x:v>9726</x:v>
      </x:c>
      <x:c r="G751" s="35" t="n">
        <x:f>IF(C751=0,0,F751/C751*B751)</x:f>
        <x:v>14.894500364991668</x:v>
      </x:c>
    </x:row>
    <x:row r="752">
      <x:c r="A752" s="33" t="str">
        <x:v>Tesouros Black</x:v>
      </x:c>
      <x:c r="B752" s="34" t="n">
        <x:v>5616</x:v>
      </x:c>
      <x:c r="C752" s="34" t="n">
        <x:v>3667207</x:v>
      </x:c>
      <x:c r="D752" s="34" t="n">
        <x:v>79</x:v>
      </x:c>
      <x:c r="E752" s="34" t="str">
        <x:v>Merlinavo</x:v>
      </x:c>
      <x:c r="F752" s="34" t="n">
        <x:v>9593</x:v>
      </x:c>
      <x:c r="G752" s="35" t="n">
        <x:f>IF(C752=0,0,F752/C752*B752)</x:f>
        <x:v>14.690822743303011</x:v>
      </x:c>
    </x:row>
    <x:row r="753">
      <x:c r="A753" s="33" t="str">
        <x:v>Tesouros Black</x:v>
      </x:c>
      <x:c r="B753" s="34" t="n">
        <x:v>5616</x:v>
      </x:c>
      <x:c r="C753" s="34" t="n">
        <x:v>3667207</x:v>
      </x:c>
      <x:c r="D753" s="34" t="n">
        <x:v>80</x:v>
      </x:c>
      <x:c r="E753" s="34" t="str">
        <x:v>BigKaHuNa</x:v>
      </x:c>
      <x:c r="F753" s="34" t="n">
        <x:v>9481</x:v>
      </x:c>
      <x:c r="G753" s="35" t="n">
        <x:f>IF(C753=0,0,F753/C753*B753)</x:f>
        <x:v>14.519304746091509</x:v>
      </x:c>
    </x:row>
    <x:row r="754">
      <x:c r="A754" s="33" t="str">
        <x:v>Tesouros Black</x:v>
      </x:c>
      <x:c r="B754" s="34" t="n">
        <x:v>5616</x:v>
      </x:c>
      <x:c r="C754" s="34" t="n">
        <x:v>3667207</x:v>
      </x:c>
      <x:c r="D754" s="34" t="n">
        <x:v>81</x:v>
      </x:c>
      <x:c r="E754" s="34" t="str">
        <x:v>YukitoRaiden</x:v>
      </x:c>
      <x:c r="F754" s="34" t="n">
        <x:v>9302</x:v>
      </x:c>
      <x:c r="G754" s="35" t="n">
        <x:f>IF(C754=0,0,F754/C754*B754)</x:f>
        <x:v>14.245182232690983</x:v>
      </x:c>
    </x:row>
    <x:row r="755">
      <x:c r="A755" s="33" t="str">
        <x:v>Tesouros Black</x:v>
      </x:c>
      <x:c r="B755" s="34" t="n">
        <x:v>5616</x:v>
      </x:c>
      <x:c r="C755" s="34" t="n">
        <x:v>3667207</x:v>
      </x:c>
      <x:c r="D755" s="34" t="n">
        <x:v>82</x:v>
      </x:c>
      <x:c r="E755" s="34" t="str">
        <x:v>BrunoAnulino</x:v>
      </x:c>
      <x:c r="F755" s="34" t="n">
        <x:v>9278</x:v>
      </x:c>
      <x:c r="G755" s="35" t="n">
        <x:f>IF(C755=0,0,F755/C755*B755)</x:f>
        <x:v>14.208428376145662</x:v>
      </x:c>
    </x:row>
    <x:row r="756">
      <x:c r="A756" s="33" t="str">
        <x:v>Tesouros Black</x:v>
      </x:c>
      <x:c r="B756" s="34" t="n">
        <x:v>5616</x:v>
      </x:c>
      <x:c r="C756" s="34" t="n">
        <x:v>3667207</x:v>
      </x:c>
      <x:c r="D756" s="34" t="n">
        <x:v>83</x:v>
      </x:c>
      <x:c r="E756" s="34" t="str">
        <x:v>Lostmothers</x:v>
      </x:c>
      <x:c r="F756" s="34" t="n">
        <x:v>9092</x:v>
      </x:c>
      <x:c r="G756" s="35" t="n">
        <x:f>IF(C756=0,0,F756/C756*B756)</x:f>
        <x:v>13.923585987919417</x:v>
      </x:c>
    </x:row>
    <x:row r="757">
      <x:c r="A757" s="33" t="str">
        <x:v>Tesouros Black</x:v>
      </x:c>
      <x:c r="B757" s="34" t="n">
        <x:v>5616</x:v>
      </x:c>
      <x:c r="C757" s="34" t="n">
        <x:v>3667207</x:v>
      </x:c>
      <x:c r="D757" s="34" t="n">
        <x:v>84</x:v>
      </x:c>
      <x:c r="E757" s="34" t="str">
        <x:v>WellITKD</x:v>
      </x:c>
      <x:c r="F757" s="34" t="n">
        <x:v>9065</x:v>
      </x:c>
      <x:c r="G757" s="35" t="n">
        <x:f>IF(C757=0,0,F757/C757*B757)</x:f>
        <x:v>13.882237899305931</x:v>
      </x:c>
    </x:row>
    <x:row r="758">
      <x:c r="A758" s="33" t="str">
        <x:v>Tesouros Black</x:v>
      </x:c>
      <x:c r="B758" s="34" t="n">
        <x:v>5616</x:v>
      </x:c>
      <x:c r="C758" s="34" t="n">
        <x:v>3667207</x:v>
      </x:c>
      <x:c r="D758" s="34" t="n">
        <x:v>85</x:v>
      </x:c>
      <x:c r="E758" s="34" t="str">
        <x:v>Mavin</x:v>
      </x:c>
      <x:c r="F758" s="34" t="n">
        <x:v>8974</x:v>
      </x:c>
      <x:c r="G758" s="35" t="n">
        <x:f>IF(C758=0,0,F758/C758*B758)</x:f>
        <x:v>13.742879526571585</x:v>
      </x:c>
    </x:row>
    <x:row r="759">
      <x:c r="A759" s="33" t="str">
        <x:v>Tesouros Black</x:v>
      </x:c>
      <x:c r="B759" s="34" t="n">
        <x:v>5616</x:v>
      </x:c>
      <x:c r="C759" s="34" t="n">
        <x:v>3667207</x:v>
      </x:c>
      <x:c r="D759" s="34" t="n">
        <x:v>86</x:v>
      </x:c>
      <x:c r="E759" s="34" t="str">
        <x:v>LuiziN</x:v>
      </x:c>
      <x:c r="F759" s="34" t="n">
        <x:v>8860</x:v>
      </x:c>
      <x:c r="G759" s="35" t="n">
        <x:f>IF(C759=0,0,F759/C759*B759)</x:f>
        <x:v>13.568298707981306</x:v>
      </x:c>
    </x:row>
    <x:row r="760">
      <x:c r="A760" s="33" t="str">
        <x:v>Tesouros Black</x:v>
      </x:c>
      <x:c r="B760" s="34" t="n">
        <x:v>5616</x:v>
      </x:c>
      <x:c r="C760" s="34" t="n">
        <x:v>3667207</x:v>
      </x:c>
      <x:c r="D760" s="34" t="n">
        <x:v>87</x:v>
      </x:c>
      <x:c r="E760" s="34" t="str">
        <x:v>MineMim</x:v>
      </x:c>
      <x:c r="F760" s="34" t="n">
        <x:v>8452</x:v>
      </x:c>
      <x:c r="G760" s="35" t="n">
        <x:f>IF(C760=0,0,F760/C760*B760)</x:f>
        <x:v>12.943483146710836</x:v>
      </x:c>
    </x:row>
    <x:row r="761">
      <x:c r="A761" s="33" t="str">
        <x:v>Tesouros Black</x:v>
      </x:c>
      <x:c r="B761" s="34" t="n">
        <x:v>5616</x:v>
      </x:c>
      <x:c r="C761" s="34" t="n">
        <x:v>3667207</x:v>
      </x:c>
      <x:c r="D761" s="34" t="n">
        <x:v>88</x:v>
      </x:c>
      <x:c r="E761" s="34" t="str">
        <x:v>CunaPrata</x:v>
      </x:c>
      <x:c r="F761" s="34" t="n">
        <x:v>8120</x:v>
      </x:c>
      <x:c r="G761" s="35" t="n">
        <x:f>IF(C761=0,0,F761/C761*B761)</x:f>
        <x:v>12.435054797833883</x:v>
      </x:c>
    </x:row>
    <x:row r="762">
      <x:c r="A762" s="33" t="str">
        <x:v>Tesouros Black</x:v>
      </x:c>
      <x:c r="B762" s="34" t="n">
        <x:v>5616</x:v>
      </x:c>
      <x:c r="C762" s="34" t="n">
        <x:v>3667207</x:v>
      </x:c>
      <x:c r="D762" s="34" t="n">
        <x:v>89</x:v>
      </x:c>
      <x:c r="E762" s="34" t="str">
        <x:v>Groom84</x:v>
      </x:c>
      <x:c r="F762" s="34" t="n">
        <x:v>8094</x:v>
      </x:c>
      <x:c r="G762" s="35" t="n">
        <x:f>IF(C762=0,0,F762/C762*B762)</x:f>
        <x:v>12.395238119909784</x:v>
      </x:c>
    </x:row>
    <x:row r="763">
      <x:c r="A763" s="33" t="str">
        <x:v>Tesouros Black</x:v>
      </x:c>
      <x:c r="B763" s="34" t="n">
        <x:v>5616</x:v>
      </x:c>
      <x:c r="C763" s="34" t="n">
        <x:v>3667207</x:v>
      </x:c>
      <x:c r="D763" s="34" t="n">
        <x:v>90</x:v>
      </x:c>
      <x:c r="E763" s="34" t="str">
        <x:v>DanyV2</x:v>
      </x:c>
      <x:c r="F763" s="34" t="n">
        <x:v>8048</x:v>
      </x:c>
      <x:c r="G763" s="35" t="n">
        <x:f>IF(C763=0,0,F763/C763*B763)</x:f>
        <x:v>12.324793228197917</x:v>
      </x:c>
    </x:row>
    <x:row r="764">
      <x:c r="A764" s="33" t="str">
        <x:v>Tesouros Black</x:v>
      </x:c>
      <x:c r="B764" s="34" t="n">
        <x:v>5616</x:v>
      </x:c>
      <x:c r="C764" s="34" t="n">
        <x:v>3667207</x:v>
      </x:c>
      <x:c r="D764" s="34" t="n">
        <x:v>91</x:v>
      </x:c>
      <x:c r="E764" s="34" t="str">
        <x:v>EBMonarca</x:v>
      </x:c>
      <x:c r="F764" s="34" t="n">
        <x:v>7871</x:v>
      </x:c>
      <x:c r="G764" s="35" t="n">
        <x:f>IF(C764=0,0,F764/C764*B764)</x:f>
        <x:v>12.05373353617617</x:v>
      </x:c>
    </x:row>
    <x:row r="765">
      <x:c r="A765" s="33" t="str">
        <x:v>Tesouros Black</x:v>
      </x:c>
      <x:c r="B765" s="34" t="n">
        <x:v>5616</x:v>
      </x:c>
      <x:c r="C765" s="34" t="n">
        <x:v>3667207</x:v>
      </x:c>
      <x:c r="D765" s="34" t="n">
        <x:v>92</x:v>
      </x:c>
      <x:c r="E765" s="34" t="str">
        <x:v>HolyGyat2324</x:v>
      </x:c>
      <x:c r="F765" s="34" t="n">
        <x:v>7583</x:v>
      </x:c>
      <x:c r="G765" s="35" t="n">
        <x:f>IF(C765=0,0,F765/C765*B765)</x:f>
        <x:v>11.612687257632306</x:v>
      </x:c>
    </x:row>
    <x:row r="766">
      <x:c r="A766" s="33" t="str">
        <x:v>Tesouros Black</x:v>
      </x:c>
      <x:c r="B766" s="34" t="n">
        <x:v>5616</x:v>
      </x:c>
      <x:c r="C766" s="34" t="n">
        <x:v>3667207</x:v>
      </x:c>
      <x:c r="D766" s="34" t="n">
        <x:v>93</x:v>
      </x:c>
      <x:c r="E766" s="34" t="str">
        <x:v>LORDJAPAA</x:v>
      </x:c>
      <x:c r="F766" s="34" t="n">
        <x:v>7513</x:v>
      </x:c>
      <x:c r="G766" s="35" t="n">
        <x:f>IF(C766=0,0,F766/C766*B766)</x:f>
        <x:v>11.50548850937512</x:v>
      </x:c>
    </x:row>
    <x:row r="767">
      <x:c r="A767" s="33" t="str">
        <x:v>Tesouros Black</x:v>
      </x:c>
      <x:c r="B767" s="34" t="n">
        <x:v>5616</x:v>
      </x:c>
      <x:c r="C767" s="34" t="n">
        <x:v>3667207</x:v>
      </x:c>
      <x:c r="D767" s="34" t="n">
        <x:v>94</x:v>
      </x:c>
      <x:c r="E767" s="34" t="str">
        <x:v>Warm4m</x:v>
      </x:c>
      <x:c r="F767" s="34" t="n">
        <x:v>7460</x:v>
      </x:c>
      <x:c r="G767" s="35" t="n">
        <x:f>IF(C767=0,0,F767/C767*B767)</x:f>
        <x:v>11.424323742837533</x:v>
      </x:c>
    </x:row>
    <x:row r="768">
      <x:c r="A768" s="33" t="str">
        <x:v>Tesouros Black</x:v>
      </x:c>
      <x:c r="B768" s="34" t="n">
        <x:v>5616</x:v>
      </x:c>
      <x:c r="C768" s="34" t="n">
        <x:v>3667207</x:v>
      </x:c>
      <x:c r="D768" s="34" t="n">
        <x:v>95</x:v>
      </x:c>
      <x:c r="E768" s="34" t="str">
        <x:v>KABRITONHO</x:v>
      </x:c>
      <x:c r="F768" s="34" t="n">
        <x:v>7426</x:v>
      </x:c>
      <x:c r="G768" s="35" t="n">
        <x:f>IF(C768=0,0,F768/C768*B768)</x:f>
        <x:v>11.372255779398326</x:v>
      </x:c>
    </x:row>
    <x:row r="769">
      <x:c r="A769" s="33" t="str">
        <x:v>Tesouros Black</x:v>
      </x:c>
      <x:c r="B769" s="34" t="n">
        <x:v>5616</x:v>
      </x:c>
      <x:c r="C769" s="34" t="n">
        <x:v>3667207</x:v>
      </x:c>
      <x:c r="D769" s="34" t="n">
        <x:v>96</x:v>
      </x:c>
      <x:c r="E769" s="34" t="str">
        <x:v>xXFate</x:v>
      </x:c>
      <x:c r="F769" s="34" t="n">
        <x:v>7300</x:v>
      </x:c>
      <x:c r="G769" s="35" t="n">
        <x:f>IF(C769=0,0,F769/C769*B769)</x:f>
        <x:v>11.179298032535387</x:v>
      </x:c>
    </x:row>
    <x:row r="770">
      <x:c r="A770" s="33" t="str">
        <x:v>Tesouros Black</x:v>
      </x:c>
      <x:c r="B770" s="34" t="n">
        <x:v>5616</x:v>
      </x:c>
      <x:c r="C770" s="34" t="n">
        <x:v>3667207</x:v>
      </x:c>
      <x:c r="D770" s="34" t="n">
        <x:v>97</x:v>
      </x:c>
      <x:c r="E770" s="34" t="str">
        <x:v>Davllmix</x:v>
      </x:c>
      <x:c r="F770" s="34" t="n">
        <x:v>7152</x:v>
      </x:c>
      <x:c r="G770" s="35" t="n">
        <x:f>IF(C770=0,0,F770/C770*B770)</x:f>
        <x:v>10.952649250505903</x:v>
      </x:c>
    </x:row>
    <x:row r="771">
      <x:c r="A771" s="33" t="str">
        <x:v>Tesouros Black</x:v>
      </x:c>
      <x:c r="B771" s="34" t="n">
        <x:v>5616</x:v>
      </x:c>
      <x:c r="C771" s="34" t="n">
        <x:v>3667207</x:v>
      </x:c>
      <x:c r="D771" s="34" t="n">
        <x:v>98</x:v>
      </x:c>
      <x:c r="E771" s="34" t="str">
        <x:v>Ruizao</x:v>
      </x:c>
      <x:c r="F771" s="34" t="n">
        <x:v>6887</x:v>
      </x:c>
      <x:c r="G771" s="35" t="n">
        <x:f>IF(C771=0,0,F771/C771*B771)</x:f>
        <x:v>10.546825417817974</x:v>
      </x:c>
    </x:row>
    <x:row r="772">
      <x:c r="A772" s="33" t="str">
        <x:v>Tesouros Black</x:v>
      </x:c>
      <x:c r="B772" s="34" t="n">
        <x:v>5616</x:v>
      </x:c>
      <x:c r="C772" s="34" t="n">
        <x:v>3667207</x:v>
      </x:c>
      <x:c r="D772" s="34" t="n">
        <x:v>99</x:v>
      </x:c>
      <x:c r="E772" s="34" t="str">
        <x:v>Madruguinha</x:v>
      </x:c>
      <x:c r="F772" s="34" t="n">
        <x:v>6872</x:v>
      </x:c>
      <x:c r="G772" s="35" t="n">
        <x:f>IF(C772=0,0,F772/C772*B772)</x:f>
        <x:v>10.523854257477149</x:v>
      </x:c>
    </x:row>
    <x:row r="773">
      <x:c r="A773" s="33" t="str">
        <x:v>Tesouros Black</x:v>
      </x:c>
      <x:c r="B773" s="34" t="n">
        <x:v>5616</x:v>
      </x:c>
      <x:c r="C773" s="34" t="n">
        <x:v>3667207</x:v>
      </x:c>
      <x:c r="D773" s="34" t="n">
        <x:v>100</x:v>
      </x:c>
      <x:c r="E773" s="34" t="str">
        <x:v>Merus</x:v>
      </x:c>
      <x:c r="F773" s="34" t="n">
        <x:v>6798</x:v>
      </x:c>
      <x:c r="G773" s="35" t="n">
        <x:f>IF(C773=0,0,F773/C773*B773)</x:f>
        <x:v>10.410529866462406</x:v>
      </x:c>
    </x:row>
    <x:row r="774">
      <x:c r="A774" s="33" t="str">
        <x:v>Tesouros Black</x:v>
      </x:c>
      <x:c r="B774" s="34" t="n">
        <x:v>5616</x:v>
      </x:c>
      <x:c r="C774" s="34" t="n">
        <x:v>3667207</x:v>
      </x:c>
      <x:c r="D774" s="34" t="n">
        <x:v>101</x:v>
      </x:c>
      <x:c r="E774" s="34" t="str">
        <x:v>Hlinha</x:v>
      </x:c>
      <x:c r="F774" s="34" t="n">
        <x:v>6534</x:v>
      </x:c>
      <x:c r="G774" s="35" t="n">
        <x:f>IF(C774=0,0,F774/C774*B774)</x:f>
        <x:v>10.006237444463865</x:v>
      </x:c>
    </x:row>
    <x:row r="775">
      <x:c r="A775" s="33" t="str">
        <x:v>Tesouros Black</x:v>
      </x:c>
      <x:c r="B775" s="34" t="n">
        <x:v>5616</x:v>
      </x:c>
      <x:c r="C775" s="34" t="n">
        <x:v>3667207</x:v>
      </x:c>
      <x:c r="D775" s="34" t="n">
        <x:v>102</x:v>
      </x:c>
      <x:c r="E775" s="34" t="str">
        <x:v>B2r</x:v>
      </x:c>
      <x:c r="F775" s="34" t="n">
        <x:v>6460</x:v>
      </x:c>
      <x:c r="G775" s="35" t="n">
        <x:f>IF(C775=0,0,F775/C775*B775)</x:f>
        <x:v>9.892913053449123</x:v>
      </x:c>
    </x:row>
    <x:row r="776">
      <x:c r="A776" s="33" t="str">
        <x:v>Tesouros Black</x:v>
      </x:c>
      <x:c r="B776" s="34" t="n">
        <x:v>5616</x:v>
      </x:c>
      <x:c r="C776" s="34" t="n">
        <x:v>3667207</x:v>
      </x:c>
      <x:c r="D776" s="34" t="n">
        <x:v>103</x:v>
      </x:c>
      <x:c r="E776" s="34" t="str">
        <x:v>gugaboss</x:v>
      </x:c>
      <x:c r="F776" s="34" t="n">
        <x:v>6261</x:v>
      </x:c>
      <x:c r="G776" s="35" t="n">
        <x:f>IF(C776=0,0,F776/C776*B776)</x:f>
        <x:v>9.58816232626083</x:v>
      </x:c>
    </x:row>
    <x:row r="777">
      <x:c r="A777" s="33" t="str">
        <x:v>Tesouros Black</x:v>
      </x:c>
      <x:c r="B777" s="34" t="n">
        <x:v>5616</x:v>
      </x:c>
      <x:c r="C777" s="34" t="n">
        <x:v>3667207</x:v>
      </x:c>
      <x:c r="D777" s="34" t="n">
        <x:v>104</x:v>
      </x:c>
      <x:c r="E777" s="34" t="str">
        <x:v>leonekilua</x:v>
      </x:c>
      <x:c r="F777" s="34" t="n">
        <x:v>5993</x:v>
      </x:c>
      <x:c r="G777" s="35" t="n">
        <x:f>IF(C777=0,0,F777/C777*B777)</x:f>
        <x:v>9.177744261504737</x:v>
      </x:c>
    </x:row>
    <x:row r="778">
      <x:c r="A778" s="33" t="str">
        <x:v>Tesouros Black</x:v>
      </x:c>
      <x:c r="B778" s="34" t="n">
        <x:v>5616</x:v>
      </x:c>
      <x:c r="C778" s="34" t="n">
        <x:v>3667207</x:v>
      </x:c>
      <x:c r="D778" s="34" t="n">
        <x:v>105</x:v>
      </x:c>
      <x:c r="E778" s="34" t="str">
        <x:v>vitinraba</x:v>
      </x:c>
      <x:c r="F778" s="34" t="n">
        <x:v>5642</x:v>
      </x:c>
      <x:c r="G778" s="35" t="n">
        <x:f>IF(C778=0,0,F778/C778*B778)</x:f>
        <x:v>8.640219109529404</x:v>
      </x:c>
    </x:row>
    <x:row r="779">
      <x:c r="A779" s="33" t="str">
        <x:v>Tesouros Black</x:v>
      </x:c>
      <x:c r="B779" s="34" t="n">
        <x:v>5616</x:v>
      </x:c>
      <x:c r="C779" s="34" t="n">
        <x:v>3667207</x:v>
      </x:c>
      <x:c r="D779" s="34" t="n">
        <x:v>106</x:v>
      </x:c>
      <x:c r="E779" s="34" t="str">
        <x:v>dudugamexd43</x:v>
      </x:c>
      <x:c r="F779" s="34" t="n">
        <x:v>5367</x:v>
      </x:c>
      <x:c r="G779" s="35" t="n">
        <x:f>IF(C779=0,0,F779/C779*B779)</x:f>
        <x:v>8.219081169947593</x:v>
      </x:c>
    </x:row>
    <x:row r="780">
      <x:c r="A780" s="33" t="str">
        <x:v>Tesouros Black</x:v>
      </x:c>
      <x:c r="B780" s="34" t="n">
        <x:v>5616</x:v>
      </x:c>
      <x:c r="C780" s="34" t="n">
        <x:v>3667207</x:v>
      </x:c>
      <x:c r="D780" s="34" t="n">
        <x:v>107</x:v>
      </x:c>
      <x:c r="E780" s="34" t="str">
        <x:v>morrty</x:v>
      </x:c>
      <x:c r="F780" s="34" t="n">
        <x:v>5337</x:v>
      </x:c>
      <x:c r="G780" s="35" t="n">
        <x:f>IF(C780=0,0,F780/C780*B780)</x:f>
        <x:v>8.173138849265941</x:v>
      </x:c>
    </x:row>
    <x:row r="781">
      <x:c r="A781" s="33" t="str">
        <x:v>Tesouros Black</x:v>
      </x:c>
      <x:c r="B781" s="34" t="n">
        <x:v>5616</x:v>
      </x:c>
      <x:c r="C781" s="34" t="n">
        <x:v>3667207</x:v>
      </x:c>
      <x:c r="D781" s="34" t="n">
        <x:v>108</x:v>
      </x:c>
      <x:c r="E781" s="34" t="str">
        <x:v>Jarjarjeanbon</x:v>
      </x:c>
      <x:c r="F781" s="34" t="n">
        <x:v>5082</x:v>
      </x:c>
      <x:c r="G781" s="35" t="n">
        <x:f>IF(C781=0,0,F781/C781*B781)</x:f>
        <x:v>7.782629123471896</x:v>
      </x:c>
    </x:row>
    <x:row r="782">
      <x:c r="A782" s="33" t="str">
        <x:v>Tesouros Black</x:v>
      </x:c>
      <x:c r="B782" s="34" t="n">
        <x:v>5616</x:v>
      </x:c>
      <x:c r="C782" s="34" t="n">
        <x:v>3667207</x:v>
      </x:c>
      <x:c r="D782" s="34" t="n">
        <x:v>109</x:v>
      </x:c>
      <x:c r="E782" s="34" t="str">
        <x:v>Hachixi</x:v>
      </x:c>
      <x:c r="F782" s="34" t="n">
        <x:v>4905</x:v>
      </x:c>
      <x:c r="G782" s="35" t="n">
        <x:f>IF(C782=0,0,F782/C782*B782)</x:f>
        <x:v>7.511569431450147</x:v>
      </x:c>
    </x:row>
    <x:row r="783">
      <x:c r="A783" s="33" t="str">
        <x:v>Tesouros Black</x:v>
      </x:c>
      <x:c r="B783" s="34" t="n">
        <x:v>5616</x:v>
      </x:c>
      <x:c r="C783" s="34" t="n">
        <x:v>3667207</x:v>
      </x:c>
      <x:c r="D783" s="34" t="n">
        <x:v>110</x:v>
      </x:c>
      <x:c r="E783" s="34" t="str">
        <x:v>NevesxC</x:v>
      </x:c>
      <x:c r="F783" s="34" t="n">
        <x:v>4601</x:v>
      </x:c>
      <x:c r="G783" s="35" t="n">
        <x:f>IF(C783=0,0,F783/C783*B783)</x:f>
        <x:v>7.04602058187607</x:v>
      </x:c>
    </x:row>
    <x:row r="784">
      <x:c r="A784" s="33" t="str">
        <x:v>Tesouros Black</x:v>
      </x:c>
      <x:c r="B784" s="34" t="n">
        <x:v>5616</x:v>
      </x:c>
      <x:c r="C784" s="34" t="n">
        <x:v>3667207</x:v>
      </x:c>
      <x:c r="D784" s="34" t="n">
        <x:v>111</x:v>
      </x:c>
      <x:c r="E784" s="34" t="str">
        <x:v>kadigo</x:v>
      </x:c>
      <x:c r="F784" s="34" t="n">
        <x:v>4348</x:v>
      </x:c>
      <x:c r="G784" s="35" t="n">
        <x:f>IF(C784=0,0,F784/C784*B784)</x:f>
        <x:v>6.658573677460803</x:v>
      </x:c>
    </x:row>
    <x:row r="785">
      <x:c r="A785" s="33" t="str">
        <x:v>Tesouros Black</x:v>
      </x:c>
      <x:c r="B785" s="34" t="n">
        <x:v>5616</x:v>
      </x:c>
      <x:c r="C785" s="34" t="n">
        <x:v>3667207</x:v>
      </x:c>
      <x:c r="D785" s="34" t="n">
        <x:v>112</x:v>
      </x:c>
      <x:c r="E785" s="34" t="str">
        <x:v>JowManojow</x:v>
      </x:c>
      <x:c r="F785" s="34" t="n">
        <x:v>3906</x:v>
      </x:c>
      <x:c r="G785" s="35" t="n">
        <x:f>IF(C785=0,0,F785/C785*B785)</x:f>
        <x:v>5.981690152751126</x:v>
      </x:c>
    </x:row>
    <x:row r="786">
      <x:c r="A786" s="33" t="str">
        <x:v>Tesouros Black</x:v>
      </x:c>
      <x:c r="B786" s="34" t="n">
        <x:v>5616</x:v>
      </x:c>
      <x:c r="C786" s="34" t="n">
        <x:v>3667207</x:v>
      </x:c>
      <x:c r="D786" s="34" t="n">
        <x:v>113</x:v>
      </x:c>
      <x:c r="E786" s="34" t="str">
        <x:v>HooLisheet</x:v>
      </x:c>
      <x:c r="F786" s="34" t="n">
        <x:v>3488</x:v>
      </x:c>
      <x:c r="G786" s="35" t="n">
        <x:f>IF(C786=0,0,F786/C786*B786)</x:f>
        <x:v>5.341560484586772</x:v>
      </x:c>
    </x:row>
    <x:row r="787">
      <x:c r="A787" s="33" t="str">
        <x:v>Tesouros Black</x:v>
      </x:c>
      <x:c r="B787" s="34" t="n">
        <x:v>5616</x:v>
      </x:c>
      <x:c r="C787" s="34" t="n">
        <x:v>3667207</x:v>
      </x:c>
      <x:c r="D787" s="34" t="n">
        <x:v>114</x:v>
      </x:c>
      <x:c r="E787" s="34" t="str">
        <x:v>MissyPT</x:v>
      </x:c>
      <x:c r="F787" s="34" t="n">
        <x:v>3339</x:v>
      </x:c>
      <x:c r="G787" s="35" t="n">
        <x:f>IF(C787=0,0,F787/C787*B787)</x:f>
        <x:v>5.113380291867898</x:v>
      </x:c>
    </x:row>
    <x:row r="788">
      <x:c r="A788" s="33" t="str">
        <x:v>Tesouros Black</x:v>
      </x:c>
      <x:c r="B788" s="34" t="n">
        <x:v>5616</x:v>
      </x:c>
      <x:c r="C788" s="34" t="n">
        <x:v>3667207</x:v>
      </x:c>
      <x:c r="D788" s="34" t="n">
        <x:v>115</x:v>
      </x:c>
      <x:c r="E788" s="34" t="str">
        <x:v>FullTime</x:v>
      </x:c>
      <x:c r="F788" s="34" t="n">
        <x:v>3313</x:v>
      </x:c>
      <x:c r="G788" s="35" t="n">
        <x:f>IF(C788=0,0,F788/C788*B788)</x:f>
        <x:v>5.0735636139438</x:v>
      </x:c>
    </x:row>
    <x:row r="789">
      <x:c r="A789" s="33" t="str">
        <x:v>Tesouros Black</x:v>
      </x:c>
      <x:c r="B789" s="34" t="n">
        <x:v>5616</x:v>
      </x:c>
      <x:c r="C789" s="34" t="n">
        <x:v>3667207</x:v>
      </x:c>
      <x:c r="D789" s="34" t="n">
        <x:v>116</x:v>
      </x:c>
      <x:c r="E789" s="34" t="str">
        <x:v>JackTrip21</x:v>
      </x:c>
      <x:c r="F789" s="34" t="n">
        <x:v>3293</x:v>
      </x:c>
      <x:c r="G789" s="35" t="n">
        <x:f>IF(C789=0,0,F789/C789*B789)</x:f>
        <x:v>5.042935400156032</x:v>
      </x:c>
    </x:row>
    <x:row r="790">
      <x:c r="A790" s="33" t="str">
        <x:v>Tesouros Black</x:v>
      </x:c>
      <x:c r="B790" s="34" t="n">
        <x:v>5616</x:v>
      </x:c>
      <x:c r="C790" s="34" t="n">
        <x:v>3667207</x:v>
      </x:c>
      <x:c r="D790" s="34" t="n">
        <x:v>117</x:v>
      </x:c>
      <x:c r="E790" s="34" t="str">
        <x:v>Superrr2855</x:v>
      </x:c>
      <x:c r="F790" s="34" t="n">
        <x:v>3188</x:v>
      </x:c>
      <x:c r="G790" s="35" t="n">
        <x:f>IF(C790=0,0,F790/C790*B790)</x:f>
        <x:v>4.882137277770249</x:v>
      </x:c>
    </x:row>
    <x:row r="791">
      <x:c r="A791" s="33" t="str">
        <x:v>Tesouros Black</x:v>
      </x:c>
      <x:c r="B791" s="34" t="n">
        <x:v>5616</x:v>
      </x:c>
      <x:c r="C791" s="34" t="n">
        <x:v>3667207</x:v>
      </x:c>
      <x:c r="D791" s="34" t="n">
        <x:v>118</x:v>
      </x:c>
      <x:c r="E791" s="34" t="str">
        <x:v>TensaiPT</x:v>
      </x:c>
      <x:c r="F791" s="34" t="n">
        <x:v>2868</x:v>
      </x:c>
      <x:c r="G791" s="35" t="n">
        <x:f>IF(C791=0,0,F791/C791*B791)</x:f>
        <x:v>4.392085857165958</x:v>
      </x:c>
    </x:row>
    <x:row r="792">
      <x:c r="A792" s="33" t="str">
        <x:v>Tesouros Black</x:v>
      </x:c>
      <x:c r="B792" s="34" t="n">
        <x:v>5616</x:v>
      </x:c>
      <x:c r="C792" s="34" t="n">
        <x:v>3667207</x:v>
      </x:c>
      <x:c r="D792" s="34" t="n">
        <x:v>119</x:v>
      </x:c>
      <x:c r="E792" s="34" t="str">
        <x:v>diovolo</x:v>
      </x:c>
      <x:c r="F792" s="34" t="n">
        <x:v>2852</x:v>
      </x:c>
      <x:c r="G792" s="35" t="n">
        <x:f>IF(C792=0,0,F792/C792*B792)</x:f>
        <x:v>4.367583286135743</x:v>
      </x:c>
    </x:row>
    <x:row r="793">
      <x:c r="A793" s="33" t="str">
        <x:v>Tesouros Black</x:v>
      </x:c>
      <x:c r="B793" s="34" t="n">
        <x:v>5616</x:v>
      </x:c>
      <x:c r="C793" s="34" t="n">
        <x:v>3667207</x:v>
      </x:c>
      <x:c r="D793" s="34" t="n">
        <x:v>120</x:v>
      </x:c>
      <x:c r="E793" s="34" t="str">
        <x:v>KatarinaSemC</x:v>
      </x:c>
      <x:c r="F793" s="34" t="n">
        <x:v>2840</x:v>
      </x:c>
      <x:c r="G793" s="35" t="n">
        <x:f>IF(C793=0,0,F793/C793*B793)</x:f>
        <x:v>4.349206357863082</x:v>
      </x:c>
    </x:row>
    <x:row r="794">
      <x:c r="A794" s="33" t="str">
        <x:v>Tesouros Black</x:v>
      </x:c>
      <x:c r="B794" s="34" t="n">
        <x:v>5616</x:v>
      </x:c>
      <x:c r="C794" s="34" t="n">
        <x:v>3667207</x:v>
      </x:c>
      <x:c r="D794" s="34" t="n">
        <x:v>121</x:v>
      </x:c>
      <x:c r="E794" s="34" t="str">
        <x:v>TheoTheLion</x:v>
      </x:c>
      <x:c r="F794" s="34" t="n">
        <x:v>2800</x:v>
      </x:c>
      <x:c r="G794" s="35" t="n">
        <x:f>IF(C794=0,0,F794/C794*B794)</x:f>
        <x:v>4.287949930287546</x:v>
      </x:c>
    </x:row>
    <x:row r="795">
      <x:c r="A795" s="33" t="str">
        <x:v>Tesouros Black</x:v>
      </x:c>
      <x:c r="B795" s="34" t="n">
        <x:v>5616</x:v>
      </x:c>
      <x:c r="C795" s="34" t="n">
        <x:v>3667207</x:v>
      </x:c>
      <x:c r="D795" s="34" t="n">
        <x:v>122</x:v>
      </x:c>
      <x:c r="E795" s="34" t="str">
        <x:v>MaCiRoSKi</x:v>
      </x:c>
      <x:c r="F795" s="34" t="n">
        <x:v>2746</x:v>
      </x:c>
      <x:c r="G795" s="35" t="n">
        <x:f>IF(C795=0,0,F795/C795*B795)</x:f>
        <x:v>4.205253753060572</x:v>
      </x:c>
    </x:row>
    <x:row r="796">
      <x:c r="A796" s="33" t="str">
        <x:v>Tesouros Black</x:v>
      </x:c>
      <x:c r="B796" s="34" t="n">
        <x:v>5616</x:v>
      </x:c>
      <x:c r="C796" s="34" t="n">
        <x:v>3667207</x:v>
      </x:c>
      <x:c r="D796" s="34" t="n">
        <x:v>123</x:v>
      </x:c>
      <x:c r="E796" s="34" t="str">
        <x:v>OWERLORI123</x:v>
      </x:c>
      <x:c r="F796" s="34" t="n">
        <x:v>2713</x:v>
      </x:c>
      <x:c r="G796" s="35" t="n">
        <x:f>IF(C796=0,0,F796/C796*B796)</x:f>
        <x:v>4.154717200310754</x:v>
      </x:c>
    </x:row>
    <x:row r="797">
      <x:c r="A797" s="33" t="str">
        <x:v>Tesouros Black</x:v>
      </x:c>
      <x:c r="B797" s="34" t="n">
        <x:v>5616</x:v>
      </x:c>
      <x:c r="C797" s="34" t="n">
        <x:v>3667207</x:v>
      </x:c>
      <x:c r="D797" s="34" t="n">
        <x:v>124</x:v>
      </x:c>
      <x:c r="E797" s="34" t="str">
        <x:v>Imortal</x:v>
      </x:c>
      <x:c r="F797" s="34" t="n">
        <x:v>2703</x:v>
      </x:c>
      <x:c r="G797" s="35" t="n">
        <x:f>IF(C797=0,0,F797/C797*B797)</x:f>
        <x:v>4.1394030934168695</x:v>
      </x:c>
    </x:row>
    <x:row r="798">
      <x:c r="A798" s="33" t="str">
        <x:v>Tesouros Black</x:v>
      </x:c>
      <x:c r="B798" s="34" t="n">
        <x:v>5616</x:v>
      </x:c>
      <x:c r="C798" s="34" t="n">
        <x:v>3667207</x:v>
      </x:c>
      <x:c r="D798" s="34" t="n">
        <x:v>125</x:v>
      </x:c>
      <x:c r="E798" s="34" t="str">
        <x:v>Telesss</x:v>
      </x:c>
      <x:c r="F798" s="34" t="n">
        <x:v>2563</x:v>
      </x:c>
      <x:c r="G798" s="35" t="n">
        <x:f>IF(C798=0,0,F798/C798*B798)</x:f>
        <x:v>3.925005596902493</x:v>
      </x:c>
    </x:row>
    <x:row r="799">
      <x:c r="A799" s="33" t="str">
        <x:v>Tesouros Black</x:v>
      </x:c>
      <x:c r="B799" s="34" t="n">
        <x:v>5616</x:v>
      </x:c>
      <x:c r="C799" s="34" t="n">
        <x:v>3667207</x:v>
      </x:c>
      <x:c r="D799" s="34" t="n">
        <x:v>126</x:v>
      </x:c>
      <x:c r="E799" s="34" t="str">
        <x:v>ZURGUING</x:v>
      </x:c>
      <x:c r="F799" s="34" t="n">
        <x:v>2415</x:v>
      </x:c>
      <x:c r="G799" s="35" t="n">
        <x:f>IF(C799=0,0,F799/C799*B799)</x:f>
        <x:v>3.698356814873008</x:v>
      </x:c>
    </x:row>
    <x:row r="800">
      <x:c r="A800" s="33" t="str">
        <x:v>Tesouros Black</x:v>
      </x:c>
      <x:c r="B800" s="34" t="n">
        <x:v>5616</x:v>
      </x:c>
      <x:c r="C800" s="34" t="n">
        <x:v>3667207</x:v>
      </x:c>
      <x:c r="D800" s="34" t="n">
        <x:v>127</x:v>
      </x:c>
      <x:c r="E800" s="34" t="str">
        <x:v>IIIIIIIIIII</x:v>
      </x:c>
      <x:c r="F800" s="34" t="n">
        <x:v>2359</x:v>
      </x:c>
      <x:c r="G800" s="35" t="n">
        <x:f>IF(C800=0,0,F800/C800*B800)</x:f>
        <x:v>3.6125978162672574</x:v>
      </x:c>
    </x:row>
    <x:row r="801">
      <x:c r="A801" s="33" t="str">
        <x:v>Tesouros Black</x:v>
      </x:c>
      <x:c r="B801" s="34" t="n">
        <x:v>5616</x:v>
      </x:c>
      <x:c r="C801" s="34" t="n">
        <x:v>3667207</x:v>
      </x:c>
      <x:c r="D801" s="34" t="n">
        <x:v>128</x:v>
      </x:c>
      <x:c r="E801" s="34" t="str">
        <x:v>RodriRowanShade</x:v>
      </x:c>
      <x:c r="F801" s="34" t="n">
        <x:v>2256</x:v>
      </x:c>
      <x:c r="G801" s="35" t="n">
        <x:f>IF(C801=0,0,F801/C801*B801)</x:f>
        <x:v>3.454862515260251</x:v>
      </x:c>
    </x:row>
    <x:row r="802">
      <x:c r="A802" s="33" t="str">
        <x:v>Tesouros Black</x:v>
      </x:c>
      <x:c r="B802" s="34" t="n">
        <x:v>5616</x:v>
      </x:c>
      <x:c r="C802" s="34" t="n">
        <x:v>3667207</x:v>
      </x:c>
      <x:c r="D802" s="34" t="n">
        <x:v>129</x:v>
      </x:c>
      <x:c r="E802" s="34" t="str">
        <x:v>JoxPT</x:v>
      </x:c>
      <x:c r="F802" s="34" t="n">
        <x:v>2180</x:v>
      </x:c>
      <x:c r="G802" s="35" t="n">
        <x:f>IF(C802=0,0,F802/C802*B802)</x:f>
        <x:v>3.3384753028667324</x:v>
      </x:c>
    </x:row>
    <x:row r="803">
      <x:c r="A803" s="33" t="str">
        <x:v>Tesouros Black</x:v>
      </x:c>
      <x:c r="B803" s="34" t="n">
        <x:v>5616</x:v>
      </x:c>
      <x:c r="C803" s="34" t="n">
        <x:v>3667207</x:v>
      </x:c>
      <x:c r="D803" s="34" t="n">
        <x:v>130</x:v>
      </x:c>
      <x:c r="E803" s="34" t="str">
        <x:v>TheBad</x:v>
      </x:c>
      <x:c r="F803" s="34" t="n">
        <x:v>2132</x:v>
      </x:c>
      <x:c r="G803" s="35" t="n">
        <x:f>IF(C803=0,0,F803/C803*B803)</x:f>
        <x:v>3.2649675897760884</x:v>
      </x:c>
    </x:row>
    <x:row r="804">
      <x:c r="A804" s="33" t="str">
        <x:v>Tesouros Black</x:v>
      </x:c>
      <x:c r="B804" s="34" t="n">
        <x:v>5616</x:v>
      </x:c>
      <x:c r="C804" s="34" t="n">
        <x:v>3667207</x:v>
      </x:c>
      <x:c r="D804" s="34" t="n">
        <x:v>131</x:v>
      </x:c>
      <x:c r="E804" s="34" t="str">
        <x:v>Chuckzerah</x:v>
      </x:c>
      <x:c r="F804" s="34" t="n">
        <x:v>2058</x:v>
      </x:c>
      <x:c r="G804" s="35" t="n">
        <x:f>IF(C804=0,0,F804/C804*B804)</x:f>
        <x:v>3.151643198761346</x:v>
      </x:c>
    </x:row>
    <x:row r="805">
      <x:c r="A805" s="33" t="str">
        <x:v>Tesouros Black</x:v>
      </x:c>
      <x:c r="B805" s="34" t="n">
        <x:v>5616</x:v>
      </x:c>
      <x:c r="C805" s="34" t="n">
        <x:v>3667207</x:v>
      </x:c>
      <x:c r="D805" s="34" t="n">
        <x:v>132</x:v>
      </x:c>
      <x:c r="E805" s="34" t="str">
        <x:v>teessa</x:v>
      </x:c>
      <x:c r="F805" s="34" t="n">
        <x:v>1950</x:v>
      </x:c>
      <x:c r="G805" s="35" t="n">
        <x:f>IF(C805=0,0,F805/C805*B805)</x:f>
        <x:v>2.9862508443073983</x:v>
      </x:c>
    </x:row>
    <x:row r="806">
      <x:c r="A806" s="33" t="str">
        <x:v>Tesouros Black</x:v>
      </x:c>
      <x:c r="B806" s="34" t="n">
        <x:v>5616</x:v>
      </x:c>
      <x:c r="C806" s="34" t="n">
        <x:v>3667207</x:v>
      </x:c>
      <x:c r="D806" s="34" t="n">
        <x:v>133</x:v>
      </x:c>
      <x:c r="E806" s="34" t="str">
        <x:v>Kytario</x:v>
      </x:c>
      <x:c r="F806" s="34" t="n">
        <x:v>1878</x:v>
      </x:c>
      <x:c r="G806" s="35" t="n">
        <x:f>IF(C806=0,0,F806/C806*B806)</x:f>
        <x:v>2.8759892746714324</x:v>
      </x:c>
    </x:row>
    <x:row r="807">
      <x:c r="A807" s="33" t="str">
        <x:v>Tesouros Black</x:v>
      </x:c>
      <x:c r="B807" s="34" t="n">
        <x:v>5616</x:v>
      </x:c>
      <x:c r="C807" s="34" t="n">
        <x:v>3667207</x:v>
      </x:c>
      <x:c r="D807" s="34" t="n">
        <x:v>134</x:v>
      </x:c>
      <x:c r="E807" s="34" t="str">
        <x:v>nito19</x:v>
      </x:c>
      <x:c r="F807" s="34" t="n">
        <x:v>1647</x:v>
      </x:c>
      <x:c r="G807" s="35" t="n">
        <x:f>IF(C807=0,0,F807/C807*B807)</x:f>
        <x:v>2.52223340542271</x:v>
      </x:c>
    </x:row>
    <x:row r="808">
      <x:c r="A808" s="33" t="str">
        <x:v>Tesouros Black</x:v>
      </x:c>
      <x:c r="B808" s="34" t="n">
        <x:v>5616</x:v>
      </x:c>
      <x:c r="C808" s="34" t="n">
        <x:v>3667207</x:v>
      </x:c>
      <x:c r="D808" s="34" t="n">
        <x:v>135</x:v>
      </x:c>
      <x:c r="E808" s="34" t="str">
        <x:v>XIShanksXI</x:v>
      </x:c>
      <x:c r="F808" s="34" t="n">
        <x:v>1634</x:v>
      </x:c>
      <x:c r="G808" s="35" t="n">
        <x:f>IF(C808=0,0,F808/C808*B808)</x:f>
        <x:v>2.5023250664606604</x:v>
      </x:c>
    </x:row>
    <x:row r="809">
      <x:c r="A809" s="33" t="str">
        <x:v>Tesouros Black</x:v>
      </x:c>
      <x:c r="B809" s="34" t="n">
        <x:v>5616</x:v>
      </x:c>
      <x:c r="C809" s="34" t="n">
        <x:v>3667207</x:v>
      </x:c>
      <x:c r="D809" s="34" t="n">
        <x:v>136</x:v>
      </x:c>
      <x:c r="E809" s="34" t="str">
        <x:v>H1gor</x:v>
      </x:c>
      <x:c r="F809" s="34" t="n">
        <x:v>1610</x:v>
      </x:c>
      <x:c r="G809" s="35" t="n">
        <x:f>IF(C809=0,0,F809/C809*B809)</x:f>
        <x:v>2.465571209915339</x:v>
      </x:c>
    </x:row>
    <x:row r="810">
      <x:c r="A810" s="33" t="str">
        <x:v>Tesouros Black</x:v>
      </x:c>
      <x:c r="B810" s="34" t="n">
        <x:v>5616</x:v>
      </x:c>
      <x:c r="C810" s="34" t="n">
        <x:v>3667207</x:v>
      </x:c>
      <x:c r="D810" s="34" t="n">
        <x:v>137</x:v>
      </x:c>
      <x:c r="E810" s="34" t="str">
        <x:v>Kuntakint</x:v>
      </x:c>
      <x:c r="F810" s="34" t="n">
        <x:v>1604</x:v>
      </x:c>
      <x:c r="G810" s="35" t="n">
        <x:f>IF(C810=0,0,F810/C810*B810)</x:f>
        <x:v>2.4563827457790084</x:v>
      </x:c>
    </x:row>
    <x:row r="811">
      <x:c r="A811" s="33" t="str">
        <x:v>Tesouros Black</x:v>
      </x:c>
      <x:c r="B811" s="34" t="n">
        <x:v>5616</x:v>
      </x:c>
      <x:c r="C811" s="34" t="n">
        <x:v>3667207</x:v>
      </x:c>
      <x:c r="D811" s="34" t="n">
        <x:v>138</x:v>
      </x:c>
      <x:c r="E811" s="34" t="str">
        <x:v>tfmPuniSHEr</x:v>
      </x:c>
      <x:c r="F811" s="34" t="n">
        <x:v>1494</x:v>
      </x:c>
      <x:c r="G811" s="35" t="n">
        <x:f>IF(C811=0,0,F811/C811*B811)</x:f>
        <x:v>2.2879275699462833</x:v>
      </x:c>
    </x:row>
    <x:row r="812">
      <x:c r="A812" s="33" t="str">
        <x:v>Tesouros Black</x:v>
      </x:c>
      <x:c r="B812" s="34" t="n">
        <x:v>5616</x:v>
      </x:c>
      <x:c r="C812" s="34" t="n">
        <x:v>3667207</x:v>
      </x:c>
      <x:c r="D812" s="34" t="n">
        <x:v>139</x:v>
      </x:c>
      <x:c r="E812" s="34" t="str">
        <x:v>habibino</x:v>
      </x:c>
      <x:c r="F812" s="34" t="n">
        <x:v>1431</x:v>
      </x:c>
      <x:c r="G812" s="35" t="n">
        <x:f>IF(C812=0,0,F812/C812*B812)</x:f>
        <x:v>2.1914486965148137</x:v>
      </x:c>
    </x:row>
    <x:row r="813">
      <x:c r="A813" s="33" t="str">
        <x:v>Tesouros Black</x:v>
      </x:c>
      <x:c r="B813" s="34" t="n">
        <x:v>5616</x:v>
      </x:c>
      <x:c r="C813" s="34" t="n">
        <x:v>3667207</x:v>
      </x:c>
      <x:c r="D813" s="34" t="n">
        <x:v>140</x:v>
      </x:c>
      <x:c r="E813" s="34" t="str">
        <x:v>2PowerGiat</x:v>
      </x:c>
      <x:c r="F813" s="34" t="n">
        <x:v>1421</x:v>
      </x:c>
      <x:c r="G813" s="35" t="n">
        <x:f>IF(C813=0,0,F813/C813*B813)</x:f>
        <x:v>2.1761345896209296</x:v>
      </x:c>
    </x:row>
    <x:row r="814">
      <x:c r="A814" s="33" t="str">
        <x:v>Tesouros Black</x:v>
      </x:c>
      <x:c r="B814" s="34" t="n">
        <x:v>5616</x:v>
      </x:c>
      <x:c r="C814" s="34" t="n">
        <x:v>3667207</x:v>
      </x:c>
      <x:c r="D814" s="34" t="n">
        <x:v>141</x:v>
      </x:c>
      <x:c r="E814" s="34" t="str">
        <x:v>Porquitchona</x:v>
      </x:c>
      <x:c r="F814" s="34" t="n">
        <x:v>1289</x:v>
      </x:c>
      <x:c r="G814" s="35" t="n">
        <x:f>IF(C814=0,0,F814/C814*B814)</x:f>
        <x:v>1.9739883786216594</x:v>
      </x:c>
    </x:row>
    <x:row r="815">
      <x:c r="A815" s="33" t="str">
        <x:v>Tesouros Black</x:v>
      </x:c>
      <x:c r="B815" s="34" t="n">
        <x:v>5616</x:v>
      </x:c>
      <x:c r="C815" s="34" t="n">
        <x:v>3667207</x:v>
      </x:c>
      <x:c r="D815" s="34" t="n">
        <x:v>142</x:v>
      </x:c>
      <x:c r="E815" s="34" t="str">
        <x:v>lord3444</x:v>
      </x:c>
      <x:c r="F815" s="34" t="n">
        <x:v>1252</x:v>
      </x:c>
      <x:c r="G815" s="35" t="n">
        <x:f>IF(C815=0,0,F815/C815*B815)</x:f>
        <x:v>1.9173261831142883</x:v>
      </x:c>
    </x:row>
    <x:row r="816">
      <x:c r="A816" s="33" t="str">
        <x:v>Tesouros Black</x:v>
      </x:c>
      <x:c r="B816" s="34" t="n">
        <x:v>5616</x:v>
      </x:c>
      <x:c r="C816" s="34" t="n">
        <x:v>3667207</x:v>
      </x:c>
      <x:c r="D816" s="34" t="n">
        <x:v>143</x:v>
      </x:c>
      <x:c r="E816" s="34" t="str">
        <x:v>SHEIKdoPONTILHAO</x:v>
      </x:c>
      <x:c r="F816" s="34" t="n">
        <x:v>1252</x:v>
      </x:c>
      <x:c r="G816" s="35" t="n">
        <x:f>IF(C816=0,0,F816/C816*B816)</x:f>
        <x:v>1.9173261831142883</x:v>
      </x:c>
    </x:row>
    <x:row r="817">
      <x:c r="A817" s="33" t="str">
        <x:v>Tesouros Black</x:v>
      </x:c>
      <x:c r="B817" s="34" t="n">
        <x:v>5616</x:v>
      </x:c>
      <x:c r="C817" s="34" t="n">
        <x:v>3667207</x:v>
      </x:c>
      <x:c r="D817" s="34" t="n">
        <x:v>144</x:v>
      </x:c>
      <x:c r="E817" s="34" t="str">
        <x:v>Zicadas</x:v>
      </x:c>
      <x:c r="F817" s="34" t="n">
        <x:v>1252</x:v>
      </x:c>
      <x:c r="G817" s="35" t="n">
        <x:f>IF(C817=0,0,F817/C817*B817)</x:f>
        <x:v>1.9173261831142883</x:v>
      </x:c>
    </x:row>
    <x:row r="818">
      <x:c r="A818" s="33" t="str">
        <x:v>Tesouros Black</x:v>
      </x:c>
      <x:c r="B818" s="34" t="n">
        <x:v>5616</x:v>
      </x:c>
      <x:c r="C818" s="34" t="n">
        <x:v>3667207</x:v>
      </x:c>
      <x:c r="D818" s="34" t="n">
        <x:v>145</x:v>
      </x:c>
      <x:c r="E818" s="34" t="str">
        <x:v>TioTrymmi</x:v>
      </x:c>
      <x:c r="F818" s="34" t="n">
        <x:v>1193</x:v>
      </x:c>
      <x:c r="G818" s="35" t="n">
        <x:f>IF(C818=0,0,F818/C818*B818)</x:f>
        <x:v>1.8269729524403722</x:v>
      </x:c>
    </x:row>
    <x:row r="819">
      <x:c r="A819" s="33" t="str">
        <x:v>Tesouros Black</x:v>
      </x:c>
      <x:c r="B819" s="34" t="n">
        <x:v>5616</x:v>
      </x:c>
      <x:c r="C819" s="34" t="n">
        <x:v>3667207</x:v>
      </x:c>
      <x:c r="D819" s="34" t="n">
        <x:v>146</x:v>
      </x:c>
      <x:c r="E819" s="34" t="str">
        <x:v>ROLEPLAY</x:v>
      </x:c>
      <x:c r="F819" s="34" t="n">
        <x:v>1193</x:v>
      </x:c>
      <x:c r="G819" s="35" t="n">
        <x:f>IF(C819=0,0,F819/C819*B819)</x:f>
        <x:v>1.8269729524403722</x:v>
      </x:c>
    </x:row>
    <x:row r="820">
      <x:c r="A820" s="33" t="str">
        <x:v>Tesouros Black</x:v>
      </x:c>
      <x:c r="B820" s="34" t="n">
        <x:v>5616</x:v>
      </x:c>
      <x:c r="C820" s="34" t="n">
        <x:v>3667207</x:v>
      </x:c>
      <x:c r="D820" s="34" t="n">
        <x:v>147</x:v>
      </x:c>
      <x:c r="E820" s="34" t="str">
        <x:v>Horsix</x:v>
      </x:c>
      <x:c r="F820" s="34" t="n">
        <x:v>1176</x:v>
      </x:c>
      <x:c r="G820" s="35" t="n">
        <x:f>IF(C820=0,0,F820/C820*B820)</x:f>
        <x:v>1.8009389707207695</x:v>
      </x:c>
    </x:row>
    <x:row r="821">
      <x:c r="A821" s="33" t="str">
        <x:v>Tesouros Black</x:v>
      </x:c>
      <x:c r="B821" s="34" t="n">
        <x:v>5616</x:v>
      </x:c>
      <x:c r="C821" s="34" t="n">
        <x:v>3667207</x:v>
      </x:c>
      <x:c r="D821" s="34" t="n">
        <x:v>148</x:v>
      </x:c>
      <x:c r="E821" s="34" t="str">
        <x:v>Miliys</x:v>
      </x:c>
      <x:c r="F821" s="34" t="n">
        <x:v>1113</x:v>
      </x:c>
      <x:c r="G821" s="35" t="n">
        <x:f>IF(C821=0,0,F821/C821*B821)</x:f>
        <x:v>1.7044600972892994</x:v>
      </x:c>
    </x:row>
    <x:row r="822">
      <x:c r="A822" s="33" t="str">
        <x:v>Tesouros Black</x:v>
      </x:c>
      <x:c r="B822" s="34" t="n">
        <x:v>5616</x:v>
      </x:c>
      <x:c r="C822" s="34" t="n">
        <x:v>3667207</x:v>
      </x:c>
      <x:c r="D822" s="34" t="n">
        <x:v>149</x:v>
      </x:c>
      <x:c r="E822" s="34" t="str">
        <x:v>1NightReaperLWY</x:v>
      </x:c>
      <x:c r="F822" s="34" t="n">
        <x:v>1113</x:v>
      </x:c>
      <x:c r="G822" s="35" t="n">
        <x:f>IF(C822=0,0,F822/C822*B822)</x:f>
        <x:v>1.7044600972892994</x:v>
      </x:c>
    </x:row>
    <x:row r="823">
      <x:c r="A823" s="33" t="str">
        <x:v>Tesouros Black</x:v>
      </x:c>
      <x:c r="B823" s="34" t="n">
        <x:v>5616</x:v>
      </x:c>
      <x:c r="C823" s="34" t="n">
        <x:v>3667207</x:v>
      </x:c>
      <x:c r="D823" s="34" t="n">
        <x:v>150</x:v>
      </x:c>
      <x:c r="E823" s="34" t="str">
        <x:v>WillHue</x:v>
      </x:c>
      <x:c r="F823" s="34" t="n">
        <x:v>1073</x:v>
      </x:c>
      <x:c r="G823" s="35" t="n">
        <x:f>IF(C823=0,0,F823/C823*B823)</x:f>
        <x:v>1.643203669713763</x:v>
      </x:c>
    </x:row>
    <x:row r="824">
      <x:c r="A824" s="33" t="str">
        <x:v>Tesouros Black</x:v>
      </x:c>
      <x:c r="B824" s="34" t="n">
        <x:v>5616</x:v>
      </x:c>
      <x:c r="C824" s="34" t="n">
        <x:v>3667207</x:v>
      </x:c>
      <x:c r="D824" s="34" t="n">
        <x:v>151</x:v>
      </x:c>
      <x:c r="E824" s="34" t="str">
        <x:v>gusta23</x:v>
      </x:c>
      <x:c r="F824" s="34" t="n">
        <x:v>1044</x:v>
      </x:c>
      <x:c r="G824" s="35" t="n">
        <x:f>IF(C824=0,0,F824/C824*B824)</x:f>
        <x:v>1.5987927597214993</x:v>
      </x:c>
    </x:row>
    <x:row r="825">
      <x:c r="A825" s="33" t="str">
        <x:v>Tesouros Black</x:v>
      </x:c>
      <x:c r="B825" s="34" t="n">
        <x:v>5616</x:v>
      </x:c>
      <x:c r="C825" s="34" t="n">
        <x:v>3667207</x:v>
      </x:c>
      <x:c r="D825" s="34" t="n">
        <x:v>152</x:v>
      </x:c>
      <x:c r="E825" s="34" t="str">
        <x:v>Sracriola</x:v>
      </x:c>
      <x:c r="F825" s="34" t="n">
        <x:v>984</x:v>
      </x:c>
      <x:c r="G825" s="35" t="n">
        <x:f>IF(C825=0,0,F825/C825*B825)</x:f>
        <x:v>1.5069081183581947</x:v>
      </x:c>
    </x:row>
    <x:row r="826">
      <x:c r="A826" s="33" t="str">
        <x:v>Tesouros Black</x:v>
      </x:c>
      <x:c r="B826" s="34" t="n">
        <x:v>5616</x:v>
      </x:c>
      <x:c r="C826" s="34" t="n">
        <x:v>3667207</x:v>
      </x:c>
      <x:c r="D826" s="34" t="n">
        <x:v>153</x:v>
      </x:c>
      <x:c r="E826" s="34" t="str">
        <x:v>ImTheBestOf</x:v>
      </x:c>
      <x:c r="F826" s="34" t="n">
        <x:v>984</x:v>
      </x:c>
      <x:c r="G826" s="35" t="n">
        <x:f>IF(C826=0,0,F826/C826*B826)</x:f>
        <x:v>1.5069081183581947</x:v>
      </x:c>
    </x:row>
    <x:row r="827">
      <x:c r="A827" s="33" t="str">
        <x:v>Tesouros Black</x:v>
      </x:c>
      <x:c r="B827" s="34" t="n">
        <x:v>5616</x:v>
      </x:c>
      <x:c r="C827" s="34" t="n">
        <x:v>3667207</x:v>
      </x:c>
      <x:c r="D827" s="34" t="n">
        <x:v>154</x:v>
      </x:c>
      <x:c r="E827" s="34" t="str">
        <x:v>1SkylifhtLWY</x:v>
      </x:c>
      <x:c r="F827" s="34" t="n">
        <x:v>974</x:v>
      </x:c>
      <x:c r="G827" s="35" t="n">
        <x:f>IF(C827=0,0,F827/C827*B827)</x:f>
        <x:v>1.4915940114643107</x:v>
      </x:c>
    </x:row>
    <x:row r="828">
      <x:c r="A828" s="33" t="str">
        <x:v>Tesouros Black</x:v>
      </x:c>
      <x:c r="B828" s="34" t="n">
        <x:v>5616</x:v>
      </x:c>
      <x:c r="C828" s="34" t="n">
        <x:v>3667207</x:v>
      </x:c>
      <x:c r="D828" s="34" t="n">
        <x:v>155</x:v>
      </x:c>
      <x:c r="E828" s="34" t="str">
        <x:v>Toolsnew</x:v>
      </x:c>
      <x:c r="F828" s="34" t="n">
        <x:v>954</x:v>
      </x:c>
      <x:c r="G828" s="35" t="n">
        <x:f>IF(C828=0,0,F828/C828*B828)</x:f>
        <x:v>1.4609657976765422</x:v>
      </x:c>
    </x:row>
    <x:row r="829">
      <x:c r="A829" s="33" t="str">
        <x:v>Tesouros Black</x:v>
      </x:c>
      <x:c r="B829" s="34" t="n">
        <x:v>5616</x:v>
      </x:c>
      <x:c r="C829" s="34" t="n">
        <x:v>3667207</x:v>
      </x:c>
      <x:c r="D829" s="34" t="n">
        <x:v>156</x:v>
      </x:c>
      <x:c r="E829" s="34" t="str">
        <x:v>Rammstein</x:v>
      </x:c>
      <x:c r="F829" s="34" t="n">
        <x:v>894</x:v>
      </x:c>
      <x:c r="G829" s="35" t="n">
        <x:f>IF(C829=0,0,F829/C829*B829)</x:f>
        <x:v>1.369081156313238</x:v>
      </x:c>
    </x:row>
    <x:row r="830">
      <x:c r="A830" s="33" t="str">
        <x:v>Tesouros Black</x:v>
      </x:c>
      <x:c r="B830" s="34" t="n">
        <x:v>5616</x:v>
      </x:c>
      <x:c r="C830" s="34" t="n">
        <x:v>3667207</x:v>
      </x:c>
      <x:c r="D830" s="34" t="n">
        <x:v>157</x:v>
      </x:c>
      <x:c r="E830" s="34" t="str">
        <x:v>ISpellNotFound</x:v>
      </x:c>
      <x:c r="F830" s="34" t="n">
        <x:v>886</x:v>
      </x:c>
      <x:c r="G830" s="35" t="n">
        <x:f>IF(C830=0,0,F830/C830*B830)</x:f>
        <x:v>1.3568298707981306</x:v>
      </x:c>
    </x:row>
    <x:row r="831">
      <x:c r="A831" s="33" t="str">
        <x:v>Tesouros Black</x:v>
      </x:c>
      <x:c r="B831" s="34" t="n">
        <x:v>5616</x:v>
      </x:c>
      <x:c r="C831" s="34" t="n">
        <x:v>3667207</x:v>
      </x:c>
      <x:c r="D831" s="34" t="n">
        <x:v>158</x:v>
      </x:c>
      <x:c r="E831" s="34" t="str">
        <x:v>executador</x:v>
      </x:c>
      <x:c r="F831" s="34" t="n">
        <x:v>877</x:v>
      </x:c>
      <x:c r="G831" s="35" t="n">
        <x:f>IF(C831=0,0,F831/C831*B831)</x:f>
        <x:v>1.343047174593635</x:v>
      </x:c>
    </x:row>
    <x:row r="832">
      <x:c r="A832" s="33" t="str">
        <x:v>Tesouros Black</x:v>
      </x:c>
      <x:c r="B832" s="34" t="n">
        <x:v>5616</x:v>
      </x:c>
      <x:c r="C832" s="34" t="n">
        <x:v>3667207</x:v>
      </x:c>
      <x:c r="D832" s="34" t="n">
        <x:v>159</x:v>
      </x:c>
      <x:c r="E832" s="34" t="str">
        <x:v>BWCTuga</x:v>
      </x:c>
      <x:c r="F832" s="34" t="n">
        <x:v>853</x:v>
      </x:c>
      <x:c r="G832" s="35" t="n">
        <x:f>IF(C832=0,0,F832/C832*B832)</x:f>
        <x:v>1.3062933180483132</x:v>
      </x:c>
    </x:row>
    <x:row r="833">
      <x:c r="A833" s="33" t="str">
        <x:v>Tesouros Black</x:v>
      </x:c>
      <x:c r="B833" s="34" t="n">
        <x:v>5616</x:v>
      </x:c>
      <x:c r="C833" s="34" t="n">
        <x:v>3667207</x:v>
      </x:c>
      <x:c r="D833" s="34" t="n">
        <x:v>160</x:v>
      </x:c>
      <x:c r="E833" s="34" t="str">
        <x:v>Bijior</x:v>
      </x:c>
      <x:c r="F833" s="34" t="n">
        <x:v>835</x:v>
      </x:c>
      <x:c r="G833" s="35" t="n">
        <x:f>IF(C833=0,0,F833/C833*B833)</x:f>
        <x:v>1.2787279256393218</x:v>
      </x:c>
    </x:row>
    <x:row r="834">
      <x:c r="A834" s="33" t="str">
        <x:v>Tesouros Black</x:v>
      </x:c>
      <x:c r="B834" s="34" t="n">
        <x:v>5616</x:v>
      </x:c>
      <x:c r="C834" s="34" t="n">
        <x:v>3667207</x:v>
      </x:c>
      <x:c r="D834" s="34" t="n">
        <x:v>161</x:v>
      </x:c>
      <x:c r="E834" s="34" t="str">
        <x:v>SShadowless</x:v>
      </x:c>
      <x:c r="F834" s="34" t="n">
        <x:v>814</x:v>
      </x:c>
      <x:c r="G834" s="35" t="n">
        <x:f>IF(C834=0,0,F834/C834*B834)</x:f>
        <x:v>1.246568301162165</x:v>
      </x:c>
    </x:row>
    <x:row r="835">
      <x:c r="A835" s="33" t="str">
        <x:v>Tesouros Black</x:v>
      </x:c>
      <x:c r="B835" s="34" t="n">
        <x:v>5616</x:v>
      </x:c>
      <x:c r="C835" s="34" t="n">
        <x:v>3667207</x:v>
      </x:c>
      <x:c r="D835" s="34" t="n">
        <x:v>162</x:v>
      </x:c>
      <x:c r="E835" s="34" t="str">
        <x:v>jotarokunBR78</x:v>
      </x:c>
      <x:c r="F835" s="34" t="n">
        <x:v>696</x:v>
      </x:c>
      <x:c r="G835" s="35" t="n">
        <x:f>IF(C835=0,0,F835/C835*B835)</x:f>
        <x:v>1.0658618398143327</x:v>
      </x:c>
    </x:row>
    <x:row r="836">
      <x:c r="A836" s="33" t="str">
        <x:v>Tesouros Black</x:v>
      </x:c>
      <x:c r="B836" s="34" t="n">
        <x:v>5616</x:v>
      </x:c>
      <x:c r="C836" s="34" t="n">
        <x:v>3667207</x:v>
      </x:c>
      <x:c r="D836" s="34" t="n">
        <x:v>163</x:v>
      </x:c>
      <x:c r="E836" s="34" t="str">
        <x:v>Aradzin</x:v>
      </x:c>
      <x:c r="F836" s="34" t="n">
        <x:v>656</x:v>
      </x:c>
      <x:c r="G836" s="35" t="n">
        <x:f>IF(C836=0,0,F836/C836*B836)</x:f>
        <x:v>1.0046054122387964</x:v>
      </x:c>
    </x:row>
    <x:row r="837">
      <x:c r="A837" s="33" t="str">
        <x:v>Tesouros Black</x:v>
      </x:c>
      <x:c r="B837" s="34" t="n">
        <x:v>5616</x:v>
      </x:c>
      <x:c r="C837" s="34" t="n">
        <x:v>3667207</x:v>
      </x:c>
      <x:c r="D837" s="34" t="n">
        <x:v>164</x:v>
      </x:c>
      <x:c r="E837" s="34" t="str">
        <x:v>BobBob</x:v>
      </x:c>
      <x:c r="F837" s="34" t="n">
        <x:v>537</x:v>
      </x:c>
      <x:c r="G837" s="35" t="n">
        <x:f>IF(C837=0,0,F837/C837*B837)</x:f>
        <x:v>0.8223675402015758</x:v>
      </x:c>
    </x:row>
    <x:row r="838">
      <x:c r="A838" s="33" t="str">
        <x:v>Tesouros Black</x:v>
      </x:c>
      <x:c r="B838" s="34" t="n">
        <x:v>5616</x:v>
      </x:c>
      <x:c r="C838" s="34" t="n">
        <x:v>3667207</x:v>
      </x:c>
      <x:c r="D838" s="34" t="n">
        <x:v>165</x:v>
      </x:c>
      <x:c r="E838" s="34" t="str">
        <x:v>Patiinhas</x:v>
      </x:c>
      <x:c r="F838" s="34" t="n">
        <x:v>537</x:v>
      </x:c>
      <x:c r="G838" s="35" t="n">
        <x:f>IF(C838=0,0,F838/C838*B838)</x:f>
        <x:v>0.8223675402015758</x:v>
      </x:c>
    </x:row>
    <x:row r="839">
      <x:c r="A839" s="33" t="str">
        <x:v>Tesouros Black</x:v>
      </x:c>
      <x:c r="B839" s="34" t="n">
        <x:v>5616</x:v>
      </x:c>
      <x:c r="C839" s="34" t="n">
        <x:v>3667207</x:v>
      </x:c>
      <x:c r="D839" s="34" t="n">
        <x:v>166</x:v>
      </x:c>
      <x:c r="E839" s="34" t="str">
        <x:v>mknjbh</x:v>
      </x:c>
      <x:c r="F839" s="34" t="n">
        <x:v>517</x:v>
      </x:c>
      <x:c r="G839" s="35" t="n">
        <x:f>IF(C839=0,0,F839/C839*B839)</x:f>
        <x:v>0.7917393264138076</x:v>
      </x:c>
    </x:row>
    <x:row r="840">
      <x:c r="A840" s="33" t="str">
        <x:v>Tesouros Black</x:v>
      </x:c>
      <x:c r="B840" s="34" t="n">
        <x:v>5616</x:v>
      </x:c>
      <x:c r="C840" s="34" t="n">
        <x:v>3667207</x:v>
      </x:c>
      <x:c r="D840" s="34" t="n">
        <x:v>167</x:v>
      </x:c>
      <x:c r="E840" s="34" t="str">
        <x:v>MRBrutu</x:v>
      </x:c>
      <x:c r="F840" s="34" t="n">
        <x:v>477</x:v>
      </x:c>
      <x:c r="G840" s="35" t="n">
        <x:f>IF(C840=0,0,F840/C840*B840)</x:f>
        <x:v>0.7304828988382711</x:v>
      </x:c>
    </x:row>
    <x:row r="841">
      <x:c r="A841" s="33" t="str">
        <x:v>Tesouros Black</x:v>
      </x:c>
      <x:c r="B841" s="34" t="n">
        <x:v>5616</x:v>
      </x:c>
      <x:c r="C841" s="34" t="n">
        <x:v>3667207</x:v>
      </x:c>
      <x:c r="D841" s="34" t="n">
        <x:v>168</x:v>
      </x:c>
      <x:c r="E841" s="34" t="str">
        <x:v>ToastT</x:v>
      </x:c>
      <x:c r="F841" s="34" t="n">
        <x:v>429</x:v>
      </x:c>
      <x:c r="G841" s="35" t="n">
        <x:f>IF(C841=0,0,F841/C841*B841)</x:f>
        <x:v>0.6569751857476276</x:v>
      </x:c>
    </x:row>
    <x:row r="842">
      <x:c r="A842" s="33" t="str">
        <x:v>Tesouros Black</x:v>
      </x:c>
      <x:c r="B842" s="34" t="n">
        <x:v>5616</x:v>
      </x:c>
      <x:c r="C842" s="34" t="n">
        <x:v>3667207</x:v>
      </x:c>
      <x:c r="D842" s="34" t="n">
        <x:v>169</x:v>
      </x:c>
      <x:c r="E842" s="34" t="str">
        <x:v>Vr4L</x:v>
      </x:c>
      <x:c r="F842" s="34" t="n">
        <x:v>417</x:v>
      </x:c>
      <x:c r="G842" s="35" t="n">
        <x:f>IF(C842=0,0,F842/C842*B842)</x:f>
        <x:v>0.6385982574749667</x:v>
      </x:c>
    </x:row>
    <x:row r="843">
      <x:c r="A843" s="33" t="str">
        <x:v>Tesouros Black</x:v>
      </x:c>
      <x:c r="B843" s="34" t="n">
        <x:v>5616</x:v>
      </x:c>
      <x:c r="C843" s="34" t="n">
        <x:v>3667207</x:v>
      </x:c>
      <x:c r="D843" s="34" t="n">
        <x:v>170</x:v>
      </x:c>
      <x:c r="E843" s="34" t="str">
        <x:v>Sonjigolo</x:v>
      </x:c>
      <x:c r="F843" s="34" t="n">
        <x:v>398</x:v>
      </x:c>
      <x:c r="G843" s="35" t="n">
        <x:f>IF(C843=0,0,F843/C843*B843)</x:f>
        <x:v>0.6095014543765869</x:v>
      </x:c>
    </x:row>
    <x:row r="844">
      <x:c r="A844" s="33" t="str">
        <x:v>Tesouros Black</x:v>
      </x:c>
      <x:c r="B844" s="34" t="n">
        <x:v>5616</x:v>
      </x:c>
      <x:c r="C844" s="34" t="n">
        <x:v>3667207</x:v>
      </x:c>
      <x:c r="D844" s="34" t="n">
        <x:v>171</x:v>
      </x:c>
      <x:c r="E844" s="34" t="str">
        <x:v>Spotk</x:v>
      </x:c>
      <x:c r="F844" s="34" t="n">
        <x:v>327</x:v>
      </x:c>
      <x:c r="G844" s="35" t="n">
        <x:f>IF(C844=0,0,F844/C844*B844)</x:f>
        <x:v>0.5007712954300099</x:v>
      </x:c>
    </x:row>
    <x:row r="845">
      <x:c r="A845" s="33" t="str">
        <x:v>Tesouros Black</x:v>
      </x:c>
      <x:c r="B845" s="34" t="n">
        <x:v>5616</x:v>
      </x:c>
      <x:c r="C845" s="34" t="n">
        <x:v>3667207</x:v>
      </x:c>
      <x:c r="D845" s="34" t="n">
        <x:v>172</x:v>
      </x:c>
      <x:c r="E845" s="34" t="str">
        <x:v>JJWAR</x:v>
      </x:c>
      <x:c r="F845" s="34" t="n">
        <x:v>258</x:v>
      </x:c>
      <x:c r="G845" s="35" t="n">
        <x:f>IF(C845=0,0,F845/C845*B845)</x:f>
        <x:v>0.39510395786220953</x:v>
      </x:c>
    </x:row>
    <x:row r="846">
      <x:c r="A846" s="33" t="str">
        <x:v>Tesouros Black</x:v>
      </x:c>
      <x:c r="B846" s="34" t="n">
        <x:v>5616</x:v>
      </x:c>
      <x:c r="C846" s="34" t="n">
        <x:v>3667207</x:v>
      </x:c>
      <x:c r="D846" s="34" t="n">
        <x:v>173</x:v>
      </x:c>
      <x:c r="E846" s="34" t="str">
        <x:v>Kaduuuuu</x:v>
      </x:c>
      <x:c r="F846" s="34" t="n">
        <x:v>239</x:v>
      </x:c>
      <x:c r="G846" s="35" t="n">
        <x:f>IF(C846=0,0,F846/C846*B846)</x:f>
        <x:v>0.36600715476382983</x:v>
      </x:c>
    </x:row>
    <x:row r="847">
      <x:c r="A847" s="33" t="str">
        <x:v>Tesouros Black</x:v>
      </x:c>
      <x:c r="B847" s="34" t="n">
        <x:v>5616</x:v>
      </x:c>
      <x:c r="C847" s="34" t="n">
        <x:v>3667207</x:v>
      </x:c>
      <x:c r="D847" s="34" t="n">
        <x:v>174</x:v>
      </x:c>
      <x:c r="E847" s="34" t="str">
        <x:v>BotaAcara</x:v>
      </x:c>
      <x:c r="F847" s="34" t="n">
        <x:v>181</x:v>
      </x:c>
      <x:c r="G847" s="35" t="n">
        <x:f>IF(C847=0,0,F847/C847*B847)</x:f>
        <x:v>0.2771853347793021</x:v>
      </x:c>
    </x:row>
    <x:row r="848">
      <x:c r="A848" s="33" t="str">
        <x:v>Tesouros Black</x:v>
      </x:c>
      <x:c r="B848" s="34" t="n">
        <x:v>5616</x:v>
      </x:c>
      <x:c r="C848" s="34" t="n">
        <x:v>3667207</x:v>
      </x:c>
      <x:c r="D848" s="34" t="n">
        <x:v>175</x:v>
      </x:c>
      <x:c r="E848" s="34" t="str">
        <x:v>Elga7id</x:v>
      </x:c>
      <x:c r="F848" s="34" t="n">
        <x:v>164</x:v>
      </x:c>
      <x:c r="G848" s="35" t="n">
        <x:f>IF(C848=0,0,F848/C848*B848)</x:f>
        <x:v>0.2511513530596991</x:v>
      </x:c>
    </x:row>
    <x:row r="849">
      <x:c r="A849" s="33" t="str">
        <x:v>Tesouros Black</x:v>
      </x:c>
      <x:c r="B849" s="34" t="n">
        <x:v>5616</x:v>
      </x:c>
      <x:c r="C849" s="34" t="n">
        <x:v>3667207</x:v>
      </x:c>
      <x:c r="D849" s="34" t="n">
        <x:v>176</x:v>
      </x:c>
      <x:c r="E849" s="34" t="str">
        <x:v>OskiGoat</x:v>
      </x:c>
      <x:c r="F849" s="34" t="n">
        <x:v>109</x:v>
      </x:c>
      <x:c r="G849" s="35" t="n">
        <x:f>IF(C849=0,0,F849/C849*B849)</x:f>
        <x:v>0.16692376514333662</x:v>
      </x:c>
    </x:row>
    <x:row r="850">
      <x:c r="A850" s="33" t="str">
        <x:v>Tesouros Black</x:v>
      </x:c>
      <x:c r="B850" s="34" t="n">
        <x:v>5616</x:v>
      </x:c>
      <x:c r="C850" s="34" t="n">
        <x:v>3667207</x:v>
      </x:c>
      <x:c r="D850" s="34" t="n">
        <x:v>177</x:v>
      </x:c>
      <x:c r="E850" s="34" t="str">
        <x:v>Bigodediarame</x:v>
      </x:c>
      <x:c r="F850" s="34" t="n">
        <x:v>78</x:v>
      </x:c>
      <x:c r="G850" s="35" t="n">
        <x:f>IF(C850=0,0,F850/C850*B850)</x:f>
        <x:v>0.11945003377229592</x:v>
      </x:c>
    </x:row>
    <x:row r="851">
      <x:c r="A851" s="33" t="str">
        <x:v>Keeper Uprising</x:v>
      </x:c>
      <x:c r="B851" s="34" t="n">
        <x:v>89225</x:v>
      </x:c>
      <x:c r="C851" s="34" t="n">
        <x:v>7207273</x:v>
      </x:c>
      <x:c r="D851" s="34" t="n">
        <x:v>1</x:v>
      </x:c>
      <x:c r="E851" s="34" t="str">
        <x:v>Tmaiusculo</x:v>
      </x:c>
      <x:c r="F851" s="34" t="n">
        <x:v>610442</x:v>
      </x:c>
      <x:c r="G851" s="35" t="n">
        <x:f>IF(C851=0,0,F851/C851*B851)</x:f>
        <x:v>7557.183896045009</x:v>
      </x:c>
    </x:row>
    <x:row r="852">
      <x:c r="A852" s="33" t="str">
        <x:v>Keeper Uprising</x:v>
      </x:c>
      <x:c r="B852" s="34" t="n">
        <x:v>89225</x:v>
      </x:c>
      <x:c r="C852" s="34" t="n">
        <x:v>7207273</x:v>
      </x:c>
      <x:c r="D852" s="34" t="n">
        <x:v>2</x:v>
      </x:c>
      <x:c r="E852" s="34" t="str">
        <x:v>Akuma1000</x:v>
      </x:c>
      <x:c r="F852" s="34" t="n">
        <x:v>445475</x:v>
      </x:c>
      <x:c r="G852" s="35" t="n">
        <x:f>IF(C852=0,0,F852/C852*B852)</x:f>
        <x:v>5514.916234614673</x:v>
      </x:c>
    </x:row>
    <x:row r="853">
      <x:c r="A853" s="33" t="str">
        <x:v>Keeper Uprising</x:v>
      </x:c>
      <x:c r="B853" s="34" t="n">
        <x:v>89225</x:v>
      </x:c>
      <x:c r="C853" s="34" t="n">
        <x:v>7207273</x:v>
      </x:c>
      <x:c r="D853" s="34" t="n">
        <x:v>3</x:v>
      </x:c>
      <x:c r="E853" s="34" t="str">
        <x:v>minhafemea1</x:v>
      </x:c>
      <x:c r="F853" s="34" t="n">
        <x:v>347021</x:v>
      </x:c>
      <x:c r="G853" s="35" t="n">
        <x:f>IF(C853=0,0,F853/C853*B853)</x:f>
        <x:v>4296.069917845488</x:v>
      </x:c>
    </x:row>
    <x:row r="854">
      <x:c r="A854" s="33" t="str">
        <x:v>Keeper Uprising</x:v>
      </x:c>
      <x:c r="B854" s="34" t="n">
        <x:v>89225</x:v>
      </x:c>
      <x:c r="C854" s="34" t="n">
        <x:v>7207273</x:v>
      </x:c>
      <x:c r="D854" s="34" t="n">
        <x:v>4</x:v>
      </x:c>
      <x:c r="E854" s="34" t="str">
        <x:v>Euhh</x:v>
      </x:c>
      <x:c r="F854" s="34" t="n">
        <x:v>313993</x:v>
      </x:c>
      <x:c r="G854" s="35" t="n">
        <x:f>IF(C854=0,0,F854/C854*B854)</x:f>
        <x:v>3887.1880425509066</x:v>
      </x:c>
    </x:row>
    <x:row r="855">
      <x:c r="A855" s="33" t="str">
        <x:v>Keeper Uprising</x:v>
      </x:c>
      <x:c r="B855" s="34" t="n">
        <x:v>89225</x:v>
      </x:c>
      <x:c r="C855" s="34" t="n">
        <x:v>7207273</x:v>
      </x:c>
      <x:c r="D855" s="34" t="n">
        <x:v>5</x:v>
      </x:c>
      <x:c r="E855" s="34" t="str">
        <x:v>PlantsTK</x:v>
      </x:c>
      <x:c r="F855" s="34" t="n">
        <x:v>246290</x:v>
      </x:c>
      <x:c r="G855" s="35" t="n">
        <x:f>IF(C855=0,0,F855/C855*B855)</x:f>
        <x:v>3049.03466956226</x:v>
      </x:c>
    </x:row>
    <x:row r="856">
      <x:c r="A856" s="33" t="str">
        <x:v>Keeper Uprising</x:v>
      </x:c>
      <x:c r="B856" s="34" t="n">
        <x:v>89225</x:v>
      </x:c>
      <x:c r="C856" s="34" t="n">
        <x:v>7207273</x:v>
      </x:c>
      <x:c r="D856" s="34" t="n">
        <x:v>6</x:v>
      </x:c>
      <x:c r="E856" s="34" t="str">
        <x:v>TKZX</x:v>
      </x:c>
      <x:c r="F856" s="34" t="n">
        <x:v>245471</x:v>
      </x:c>
      <x:c r="G856" s="35" t="n">
        <x:f>IF(C856=0,0,F856/C856*B856)</x:f>
        <x:v>3038.895567713336</x:v>
      </x:c>
    </x:row>
    <x:row r="857">
      <x:c r="A857" s="33" t="str">
        <x:v>Keeper Uprising</x:v>
      </x:c>
      <x:c r="B857" s="34" t="n">
        <x:v>89225</x:v>
      </x:c>
      <x:c r="C857" s="34" t="n">
        <x:v>7207273</x:v>
      </x:c>
      <x:c r="D857" s="34" t="n">
        <x:v>7</x:v>
      </x:c>
      <x:c r="E857" s="34" t="str">
        <x:v>VTracer</x:v>
      </x:c>
      <x:c r="F857" s="34" t="n">
        <x:v>243466</x:v>
      </x:c>
      <x:c r="G857" s="35" t="n">
        <x:f>IF(C857=0,0,F857/C857*B857)</x:f>
        <x:v>3014.0739569598654</x:v>
      </x:c>
    </x:row>
    <x:row r="858">
      <x:c r="A858" s="33" t="str">
        <x:v>Keeper Uprising</x:v>
      </x:c>
      <x:c r="B858" s="34" t="n">
        <x:v>89225</x:v>
      </x:c>
      <x:c r="C858" s="34" t="n">
        <x:v>7207273</x:v>
      </x:c>
      <x:c r="D858" s="34" t="n">
        <x:v>8</x:v>
      </x:c>
      <x:c r="E858" s="34" t="str">
        <x:v>dsn</x:v>
      </x:c>
      <x:c r="F858" s="34" t="n">
        <x:v>229758</x:v>
      </x:c>
      <x:c r="G858" s="35" t="n">
        <x:f>IF(C858=0,0,F858/C858*B858)</x:f>
        <x:v>2844.3708945116964</x:v>
      </x:c>
    </x:row>
    <x:row r="859">
      <x:c r="A859" s="33" t="str">
        <x:v>Keeper Uprising</x:v>
      </x:c>
      <x:c r="B859" s="34" t="n">
        <x:v>89225</x:v>
      </x:c>
      <x:c r="C859" s="34" t="n">
        <x:v>7207273</x:v>
      </x:c>
      <x:c r="D859" s="34" t="n">
        <x:v>9</x:v>
      </x:c>
      <x:c r="E859" s="34" t="str">
        <x:v>Sabedoria7</x:v>
      </x:c>
      <x:c r="F859" s="34" t="n">
        <x:v>220843</x:v>
      </x:c>
      <x:c r="G859" s="35" t="n">
        <x:f>IF(C859=0,0,F859/C859*B859)</x:f>
        <x:v>2734.0044806128476</x:v>
      </x:c>
    </x:row>
    <x:row r="860">
      <x:c r="A860" s="33" t="str">
        <x:v>Keeper Uprising</x:v>
      </x:c>
      <x:c r="B860" s="34" t="n">
        <x:v>89225</x:v>
      </x:c>
      <x:c r="C860" s="34" t="n">
        <x:v>7207273</x:v>
      </x:c>
      <x:c r="D860" s="34" t="n">
        <x:v>10</x:v>
      </x:c>
      <x:c r="E860" s="34" t="str">
        <x:v>lordkiller01</x:v>
      </x:c>
      <x:c r="F860" s="34" t="n">
        <x:v>210376</x:v>
      </x:c>
      <x:c r="G860" s="35" t="n">
        <x:f>IF(C860=0,0,F860/C860*B860)</x:f>
        <x:v>2604.4245306095663</x:v>
      </x:c>
    </x:row>
    <x:row r="861">
      <x:c r="A861" s="33" t="str">
        <x:v>Keeper Uprising</x:v>
      </x:c>
      <x:c r="B861" s="34" t="n">
        <x:v>89225</x:v>
      </x:c>
      <x:c r="C861" s="34" t="n">
        <x:v>7207273</x:v>
      </x:c>
      <x:c r="D861" s="34" t="n">
        <x:v>11</x:v>
      </x:c>
      <x:c r="E861" s="34" t="str">
        <x:v>MaxHardcore</x:v>
      </x:c>
      <x:c r="F861" s="34" t="n">
        <x:v>210246</x:v>
      </x:c>
      <x:c r="G861" s="35" t="n">
        <x:f>IF(C861=0,0,F861/C861*B861)</x:f>
        <x:v>2602.8151493637056</x:v>
      </x:c>
    </x:row>
    <x:row r="862">
      <x:c r="A862" s="33" t="str">
        <x:v>Keeper Uprising</x:v>
      </x:c>
      <x:c r="B862" s="34" t="n">
        <x:v>89225</x:v>
      </x:c>
      <x:c r="C862" s="34" t="n">
        <x:v>7207273</x:v>
      </x:c>
      <x:c r="D862" s="34" t="n">
        <x:v>12</x:v>
      </x:c>
      <x:c r="E862" s="34" t="str">
        <x:v>BSAIGunner</x:v>
      </x:c>
      <x:c r="F862" s="34" t="n">
        <x:v>196520</x:v>
      </x:c>
      <x:c r="G862" s="35" t="n">
        <x:f>IF(C862=0,0,F862/C862*B862)</x:f>
        <x:v>2432.8892495122636</x:v>
      </x:c>
    </x:row>
    <x:row r="863">
      <x:c r="A863" s="33" t="str">
        <x:v>Keeper Uprising</x:v>
      </x:c>
      <x:c r="B863" s="34" t="n">
        <x:v>89225</x:v>
      </x:c>
      <x:c r="C863" s="34" t="n">
        <x:v>7207273</x:v>
      </x:c>
      <x:c r="D863" s="34" t="n">
        <x:v>13</x:v>
      </x:c>
      <x:c r="E863" s="34" t="str">
        <x:v>A2ar</x:v>
      </x:c>
      <x:c r="F863" s="34" t="n">
        <x:v>195760</x:v>
      </x:c>
      <x:c r="G863" s="35" t="n">
        <x:f>IF(C863=0,0,F863/C863*B863)</x:f>
        <x:v>2423.4805591518457</x:v>
      </x:c>
    </x:row>
    <x:row r="864">
      <x:c r="A864" s="33" t="str">
        <x:v>Keeper Uprising</x:v>
      </x:c>
      <x:c r="B864" s="34" t="n">
        <x:v>89225</x:v>
      </x:c>
      <x:c r="C864" s="34" t="n">
        <x:v>7207273</x:v>
      </x:c>
      <x:c r="D864" s="34" t="n">
        <x:v>14</x:v>
      </x:c>
      <x:c r="E864" s="34" t="str">
        <x:v>Hi6or</x:v>
      </x:c>
      <x:c r="F864" s="34" t="n">
        <x:v>165508</x:v>
      </x:c>
      <x:c r="G864" s="35" t="n">
        <x:f>IF(C864=0,0,F864/C864*B864)</x:f>
        <x:v>2048.9651633842645</x:v>
      </x:c>
    </x:row>
    <x:row r="865">
      <x:c r="A865" s="33" t="str">
        <x:v>Keeper Uprising</x:v>
      </x:c>
      <x:c r="B865" s="34" t="n">
        <x:v>89225</x:v>
      </x:c>
      <x:c r="C865" s="34" t="n">
        <x:v>7207273</x:v>
      </x:c>
      <x:c r="D865" s="34" t="n">
        <x:v>15</x:v>
      </x:c>
      <x:c r="E865" s="34" t="str">
        <x:v>Patolas</x:v>
      </x:c>
      <x:c r="F865" s="34" t="n">
        <x:v>154697</x:v>
      </x:c>
      <x:c r="G865" s="35" t="n">
        <x:f>IF(C865=0,0,F865/C865*B865)</x:f>
        <x:v>1915.1265430073204</x:v>
      </x:c>
    </x:row>
    <x:row r="866">
      <x:c r="A866" s="33" t="str">
        <x:v>Keeper Uprising</x:v>
      </x:c>
      <x:c r="B866" s="34" t="n">
        <x:v>89225</x:v>
      </x:c>
      <x:c r="C866" s="34" t="n">
        <x:v>7207273</x:v>
      </x:c>
      <x:c r="D866" s="34" t="n">
        <x:v>16</x:v>
      </x:c>
      <x:c r="E866" s="34" t="str">
        <x:v>OniGuM000</x:v>
      </x:c>
      <x:c r="F866" s="34" t="n">
        <x:v>152571</x:v>
      </x:c>
      <x:c r="G866" s="35" t="n">
        <x:f>IF(C866=0,0,F866/C866*B866)</x:f>
        <x:v>1888.8069697096253</x:v>
      </x:c>
    </x:row>
    <x:row r="867">
      <x:c r="A867" s="33" t="str">
        <x:v>Keeper Uprising</x:v>
      </x:c>
      <x:c r="B867" s="34" t="n">
        <x:v>89225</x:v>
      </x:c>
      <x:c r="C867" s="34" t="n">
        <x:v>7207273</x:v>
      </x:c>
      <x:c r="D867" s="34" t="n">
        <x:v>17</x:v>
      </x:c>
      <x:c r="E867" s="34" t="str">
        <x:v>Cominhos</x:v>
      </x:c>
      <x:c r="F867" s="34" t="n">
        <x:v>147408</x:v>
      </x:c>
      <x:c r="G867" s="35" t="n">
        <x:f>IF(C867=0,0,F867/C867*B867)</x:f>
        <x:v>1824.8897745374707</x:v>
      </x:c>
    </x:row>
    <x:row r="868">
      <x:c r="A868" s="33" t="str">
        <x:v>Keeper Uprising</x:v>
      </x:c>
      <x:c r="B868" s="34" t="n">
        <x:v>89225</x:v>
      </x:c>
      <x:c r="C868" s="34" t="n">
        <x:v>7207273</x:v>
      </x:c>
      <x:c r="D868" s="34" t="n">
        <x:v>18</x:v>
      </x:c>
      <x:c r="E868" s="34" t="str">
        <x:v>Soldier027</x:v>
      </x:c>
      <x:c r="F868" s="34" t="n">
        <x:v>146110</x:v>
      </x:c>
      <x:c r="G868" s="35" t="n">
        <x:f>IF(C868=0,0,F868/C868*B868)</x:f>
        <x:v>1808.820721790336</x:v>
      </x:c>
    </x:row>
    <x:row r="869">
      <x:c r="A869" s="33" t="str">
        <x:v>Keeper Uprising</x:v>
      </x:c>
      <x:c r="B869" s="34" t="n">
        <x:v>89225</x:v>
      </x:c>
      <x:c r="C869" s="34" t="n">
        <x:v>7207273</x:v>
      </x:c>
      <x:c r="D869" s="34" t="n">
        <x:v>19</x:v>
      </x:c>
      <x:c r="E869" s="34" t="str">
        <x:v>Yuangii</x:v>
      </x:c>
      <x:c r="F869" s="34" t="n">
        <x:v>127044</x:v>
      </x:c>
      <x:c r="G869" s="35" t="n">
        <x:f>IF(C869=0,0,F869/C869*B869)</x:f>
        <x:v>1572.7863923012214</x:v>
      </x:c>
    </x:row>
    <x:row r="870">
      <x:c r="A870" s="33" t="str">
        <x:v>Keeper Uprising</x:v>
      </x:c>
      <x:c r="B870" s="34" t="n">
        <x:v>89225</x:v>
      </x:c>
      <x:c r="C870" s="34" t="n">
        <x:v>7207273</x:v>
      </x:c>
      <x:c r="D870" s="34" t="n">
        <x:v>20</x:v>
      </x:c>
      <x:c r="E870" s="34" t="str">
        <x:v>MatMac</x:v>
      </x:c>
      <x:c r="F870" s="34" t="n">
        <x:v>118435</x:v>
      </x:c>
      <x:c r="G870" s="35" t="n">
        <x:f>IF(C870=0,0,F870/C870*B870)</x:f>
        <x:v>1466.208214258014</x:v>
      </x:c>
    </x:row>
    <x:row r="871">
      <x:c r="A871" s="33" t="str">
        <x:v>Keeper Uprising</x:v>
      </x:c>
      <x:c r="B871" s="34" t="n">
        <x:v>89225</x:v>
      </x:c>
      <x:c r="C871" s="34" t="n">
        <x:v>7207273</x:v>
      </x:c>
      <x:c r="D871" s="34" t="n">
        <x:v>21</x:v>
      </x:c>
      <x:c r="E871" s="34" t="str">
        <x:v>vadisley</x:v>
      </x:c>
      <x:c r="F871" s="34" t="n">
        <x:v>107889</x:v>
      </x:c>
      <x:c r="G871" s="35" t="n">
        <x:f>IF(C871=0,0,F871/C871*B871)</x:f>
        <x:v>1335.6502556514788</x:v>
      </x:c>
    </x:row>
    <x:row r="872">
      <x:c r="A872" s="33" t="str">
        <x:v>Keeper Uprising</x:v>
      </x:c>
      <x:c r="B872" s="34" t="n">
        <x:v>89225</x:v>
      </x:c>
      <x:c r="C872" s="34" t="n">
        <x:v>7207273</x:v>
      </x:c>
      <x:c r="D872" s="34" t="n">
        <x:v>22</x:v>
      </x:c>
      <x:c r="E872" s="34" t="str">
        <x:v>KuNaKiNa</x:v>
      </x:c>
      <x:c r="F872" s="34" t="n">
        <x:v>102212</x:v>
      </x:c>
      <x:c r="G872" s="35" t="n">
        <x:f>IF(C872=0,0,F872/C872*B872)</x:f>
        <x:v>1265.3698146303045</x:v>
      </x:c>
    </x:row>
    <x:row r="873">
      <x:c r="A873" s="33" t="str">
        <x:v>Keeper Uprising</x:v>
      </x:c>
      <x:c r="B873" s="34" t="n">
        <x:v>89225</x:v>
      </x:c>
      <x:c r="C873" s="34" t="n">
        <x:v>7207273</x:v>
      </x:c>
      <x:c r="D873" s="34" t="n">
        <x:v>23</x:v>
      </x:c>
      <x:c r="E873" s="34" t="str">
        <x:v>Temperamental</x:v>
      </x:c>
      <x:c r="F873" s="34" t="n">
        <x:v>97595</x:v>
      </x:c>
      <x:c r="G873" s="35" t="n">
        <x:f>IF(C873=0,0,F873/C873*B873)</x:f>
        <x:v>1208.212020690766</x:v>
      </x:c>
    </x:row>
    <x:row r="874">
      <x:c r="A874" s="33" t="str">
        <x:v>Keeper Uprising</x:v>
      </x:c>
      <x:c r="B874" s="34" t="n">
        <x:v>89225</x:v>
      </x:c>
      <x:c r="C874" s="34" t="n">
        <x:v>7207273</x:v>
      </x:c>
      <x:c r="D874" s="34" t="n">
        <x:v>24</x:v>
      </x:c>
      <x:c r="E874" s="34" t="str">
        <x:v>Nandixx</x:v>
      </x:c>
      <x:c r="F874" s="34" t="n">
        <x:v>93727</x:v>
      </x:c>
      <x:c r="G874" s="35" t="n">
        <x:f>IF(C874=0,0,F874/C874*B874)</x:f>
        <x:v>1160.3267386985342</x:v>
      </x:c>
    </x:row>
    <x:row r="875">
      <x:c r="A875" s="33" t="str">
        <x:v>Keeper Uprising</x:v>
      </x:c>
      <x:c r="B875" s="34" t="n">
        <x:v>89225</x:v>
      </x:c>
      <x:c r="C875" s="34" t="n">
        <x:v>7207273</x:v>
      </x:c>
      <x:c r="D875" s="34" t="n">
        <x:v>25</x:v>
      </x:c>
      <x:c r="E875" s="34" t="str">
        <x:v>Davimix</x:v>
      </x:c>
      <x:c r="F875" s="34" t="n">
        <x:v>92929</x:v>
      </x:c>
      <x:c r="G875" s="35" t="n">
        <x:f>IF(C875=0,0,F875/C875*B875)</x:f>
        <x:v>1150.4476138200955</x:v>
      </x:c>
    </x:row>
    <x:row r="876">
      <x:c r="A876" s="33" t="str">
        <x:v>Keeper Uprising</x:v>
      </x:c>
      <x:c r="B876" s="34" t="n">
        <x:v>89225</x:v>
      </x:c>
      <x:c r="C876" s="34" t="n">
        <x:v>7207273</x:v>
      </x:c>
      <x:c r="D876" s="34" t="n">
        <x:v>26</x:v>
      </x:c>
      <x:c r="E876" s="34" t="str">
        <x:v>MYLOLA262</x:v>
      </x:c>
      <x:c r="F876" s="34" t="n">
        <x:v>81728</x:v>
      </x:c>
      <x:c r="G876" s="35" t="n">
        <x:f>IF(C876=0,0,F876/C876*B876)</x:f>
        <x:v>1011.7808497055682</x:v>
      </x:c>
    </x:row>
    <x:row r="877">
      <x:c r="A877" s="33" t="str">
        <x:v>Keeper Uprising</x:v>
      </x:c>
      <x:c r="B877" s="34" t="n">
        <x:v>89225</x:v>
      </x:c>
      <x:c r="C877" s="34" t="n">
        <x:v>7207273</x:v>
      </x:c>
      <x:c r="D877" s="34" t="n">
        <x:v>27</x:v>
      </x:c>
      <x:c r="E877" s="34" t="str">
        <x:v>imdonedontkillme</x:v>
      </x:c>
      <x:c r="F877" s="34" t="n">
        <x:v>79701</x:v>
      </x:c>
      <x:c r="G877" s="35" t="n">
        <x:f>IF(C877=0,0,F877/C877*B877)</x:f>
        <x:v>986.6868821258748</x:v>
      </x:c>
    </x:row>
    <x:row r="878">
      <x:c r="A878" s="33" t="str">
        <x:v>Keeper Uprising</x:v>
      </x:c>
      <x:c r="B878" s="34" t="n">
        <x:v>89225</x:v>
      </x:c>
      <x:c r="C878" s="34" t="n">
        <x:v>7207273</x:v>
      </x:c>
      <x:c r="D878" s="34" t="n">
        <x:v>28</x:v>
      </x:c>
      <x:c r="E878" s="34" t="str">
        <x:v>Natsury</x:v>
      </x:c>
      <x:c r="F878" s="34" t="n">
        <x:v>77398</x:v>
      </x:c>
      <x:c r="G878" s="35" t="n">
        <x:f>IF(C878=0,0,F878/C878*B878)</x:f>
        <x:v>958.1760743626611</x:v>
      </x:c>
    </x:row>
    <x:row r="879">
      <x:c r="A879" s="33" t="str">
        <x:v>Keeper Uprising</x:v>
      </x:c>
      <x:c r="B879" s="34" t="n">
        <x:v>89225</x:v>
      </x:c>
      <x:c r="C879" s="34" t="n">
        <x:v>7207273</x:v>
      </x:c>
      <x:c r="D879" s="34" t="n">
        <x:v>29</x:v>
      </x:c>
      <x:c r="E879" s="34" t="str">
        <x:v>jairrodrigo</x:v>
      </x:c>
      <x:c r="F879" s="34" t="n">
        <x:v>74637</x:v>
      </x:c>
      <x:c r="G879" s="35" t="n">
        <x:f>IF(C879=0,0,F879/C879*B879)</x:f>
        <x:v>923.9952926717222</x:v>
      </x:c>
    </x:row>
    <x:row r="880">
      <x:c r="A880" s="33" t="str">
        <x:v>Keeper Uprising</x:v>
      </x:c>
      <x:c r="B880" s="34" t="n">
        <x:v>89225</x:v>
      </x:c>
      <x:c r="C880" s="34" t="n">
        <x:v>7207273</x:v>
      </x:c>
      <x:c r="D880" s="34" t="n">
        <x:v>30</x:v>
      </x:c>
      <x:c r="E880" s="34" t="str">
        <x:v>goncalves23</x:v>
      </x:c>
      <x:c r="F880" s="34" t="n">
        <x:v>72614</x:v>
      </x:c>
      <x:c r="G880" s="35" t="n">
        <x:f>IF(C880=0,0,F880/C880*B880)</x:f>
        <x:v>898.9508445149781</x:v>
      </x:c>
    </x:row>
    <x:row r="881">
      <x:c r="A881" s="33" t="str">
        <x:v>Keeper Uprising</x:v>
      </x:c>
      <x:c r="B881" s="34" t="n">
        <x:v>89225</x:v>
      </x:c>
      <x:c r="C881" s="34" t="n">
        <x:v>7207273</x:v>
      </x:c>
      <x:c r="D881" s="34" t="n">
        <x:v>31</x:v>
      </x:c>
      <x:c r="E881" s="34" t="str">
        <x:v>MARIOMALAN</x:v>
      </x:c>
      <x:c r="F881" s="34" t="n">
        <x:v>69968</x:v>
      </x:c>
      <x:c r="G881" s="35" t="n">
        <x:f>IF(C881=0,0,F881/C881*B881)</x:f>
        <x:v>866.1937462338391</x:v>
      </x:c>
    </x:row>
    <x:row r="882">
      <x:c r="A882" s="33" t="str">
        <x:v>Keeper Uprising</x:v>
      </x:c>
      <x:c r="B882" s="34" t="n">
        <x:v>89225</x:v>
      </x:c>
      <x:c r="C882" s="34" t="n">
        <x:v>7207273</x:v>
      </x:c>
      <x:c r="D882" s="34" t="n">
        <x:v>32</x:v>
      </x:c>
      <x:c r="E882" s="34" t="str">
        <x:v>MineMim</x:v>
      </x:c>
      <x:c r="F882" s="34" t="n">
        <x:v>69119</x:v>
      </x:c>
      <x:c r="G882" s="35" t="n">
        <x:f>IF(C882=0,0,F882/C882*B882)</x:f>
        <x:v>855.6832487127933</x:v>
      </x:c>
    </x:row>
    <x:row r="883">
      <x:c r="A883" s="33" t="str">
        <x:v>Keeper Uprising</x:v>
      </x:c>
      <x:c r="B883" s="34" t="n">
        <x:v>89225</x:v>
      </x:c>
      <x:c r="C883" s="34" t="n">
        <x:v>7207273</x:v>
      </x:c>
      <x:c r="D883" s="34" t="n">
        <x:v>33</x:v>
      </x:c>
      <x:c r="E883" s="34" t="str">
        <x:v>Nagacaburos</x:v>
      </x:c>
      <x:c r="F883" s="34" t="n">
        <x:v>64475</x:v>
      </x:c>
      <x:c r="G883" s="35" t="n">
        <x:f>IF(C883=0,0,F883/C883*B883)</x:f>
        <x:v>798.1911986683451</x:v>
      </x:c>
    </x:row>
    <x:row r="884">
      <x:c r="A884" s="33" t="str">
        <x:v>Keeper Uprising</x:v>
      </x:c>
      <x:c r="B884" s="34" t="n">
        <x:v>89225</x:v>
      </x:c>
      <x:c r="C884" s="34" t="n">
        <x:v>7207273</x:v>
      </x:c>
      <x:c r="D884" s="34" t="n">
        <x:v>34</x:v>
      </x:c>
      <x:c r="E884" s="34" t="str">
        <x:v>jrfate</x:v>
      </x:c>
      <x:c r="F884" s="34" t="n">
        <x:v>61111</x:v>
      </x:c>
      <x:c r="G884" s="35" t="n">
        <x:f>IF(C884=0,0,F884/C884*B884)</x:f>
        <x:v>756.5453639677586</x:v>
      </x:c>
    </x:row>
    <x:row r="885">
      <x:c r="A885" s="33" t="str">
        <x:v>Keeper Uprising</x:v>
      </x:c>
      <x:c r="B885" s="34" t="n">
        <x:v>89225</x:v>
      </x:c>
      <x:c r="C885" s="34" t="n">
        <x:v>7207273</x:v>
      </x:c>
      <x:c r="D885" s="34" t="n">
        <x:v>35</x:v>
      </x:c>
      <x:c r="E885" s="34" t="str">
        <x:v>LipeFuab</x:v>
      </x:c>
      <x:c r="F885" s="34" t="n">
        <x:v>57284</x:v>
      </x:c>
      <x:c r="G885" s="35" t="n">
        <x:f>IF(C885=0,0,F885/C885*B885)</x:f>
        <x:v>709.1676560607598</x:v>
      </x:c>
    </x:row>
    <x:row r="886">
      <x:c r="A886" s="33" t="str">
        <x:v>Keeper Uprising</x:v>
      </x:c>
      <x:c r="B886" s="34" t="n">
        <x:v>89225</x:v>
      </x:c>
      <x:c r="C886" s="34" t="n">
        <x:v>7207273</x:v>
      </x:c>
      <x:c r="D886" s="34" t="n">
        <x:v>36</x:v>
      </x:c>
      <x:c r="E886" s="34" t="str">
        <x:v>BrEnnD</x:v>
      </x:c>
      <x:c r="F886" s="34" t="n">
        <x:v>56171</x:v>
      </x:c>
      <x:c r="G886" s="35" t="n">
        <x:f>IF(C886=0,0,F886/C886*B886)</x:f>
        <x:v>695.3888766250425</x:v>
      </x:c>
    </x:row>
    <x:row r="887">
      <x:c r="A887" s="33" t="str">
        <x:v>Keeper Uprising</x:v>
      </x:c>
      <x:c r="B887" s="34" t="n">
        <x:v>89225</x:v>
      </x:c>
      <x:c r="C887" s="34" t="n">
        <x:v>7207273</x:v>
      </x:c>
      <x:c r="D887" s="34" t="n">
        <x:v>37</x:v>
      </x:c>
      <x:c r="E887" s="34" t="str">
        <x:v>Reguilla</x:v>
      </x:c>
      <x:c r="F887" s="34" t="n">
        <x:v>55743</x:v>
      </x:c>
      <x:c r="G887" s="35" t="n">
        <x:f>IF(C887=0,0,F887/C887*B887)</x:f>
        <x:v>690.0902983694388</x:v>
      </x:c>
    </x:row>
    <x:row r="888">
      <x:c r="A888" s="33" t="str">
        <x:v>Keeper Uprising</x:v>
      </x:c>
      <x:c r="B888" s="34" t="n">
        <x:v>89225</x:v>
      </x:c>
      <x:c r="C888" s="34" t="n">
        <x:v>7207273</x:v>
      </x:c>
      <x:c r="D888" s="34" t="n">
        <x:v>38</x:v>
      </x:c>
      <x:c r="E888" s="34" t="str">
        <x:v>Jmbv</x:v>
      </x:c>
      <x:c r="F888" s="34" t="n">
        <x:v>53520</x:v>
      </x:c>
      <x:c r="G888" s="35" t="n">
        <x:f>IF(C888=0,0,F888/C888*B888)</x:f>
        <x:v>662.5698790652165</x:v>
      </x:c>
    </x:row>
    <x:row r="889">
      <x:c r="A889" s="33" t="str">
        <x:v>Keeper Uprising</x:v>
      </x:c>
      <x:c r="B889" s="34" t="n">
        <x:v>89225</x:v>
      </x:c>
      <x:c r="C889" s="34" t="n">
        <x:v>7207273</x:v>
      </x:c>
      <x:c r="D889" s="34" t="n">
        <x:v>39</x:v>
      </x:c>
      <x:c r="E889" s="34" t="str">
        <x:v>Lamusk</x:v>
      </x:c>
      <x:c r="F889" s="34" t="n">
        <x:v>52829</x:v>
      </x:c>
      <x:c r="G889" s="35" t="n">
        <x:f>IF(C889=0,0,F889/C889*B889)</x:f>
        <x:v>654.0153987506786</x:v>
      </x:c>
    </x:row>
    <x:row r="890">
      <x:c r="A890" s="33" t="str">
        <x:v>Keeper Uprising</x:v>
      </x:c>
      <x:c r="B890" s="34" t="n">
        <x:v>89225</x:v>
      </x:c>
      <x:c r="C890" s="34" t="n">
        <x:v>7207273</x:v>
      </x:c>
      <x:c r="D890" s="34" t="n">
        <x:v>40</x:v>
      </x:c>
      <x:c r="E890" s="34" t="str">
        <x:v>Guislave</x:v>
      </x:c>
      <x:c r="F890" s="34" t="n">
        <x:v>52467</x:v>
      </x:c>
      <x:c r="G890" s="35" t="n">
        <x:f>IF(C890=0,0,F890/C890*B890)</x:f>
        <x:v>649.5338909737428</x:v>
      </x:c>
    </x:row>
    <x:row r="891">
      <x:c r="A891" s="33" t="str">
        <x:v>Keeper Uprising</x:v>
      </x:c>
      <x:c r="B891" s="34" t="n">
        <x:v>89225</x:v>
      </x:c>
      <x:c r="C891" s="34" t="n">
        <x:v>7207273</x:v>
      </x:c>
      <x:c r="D891" s="34" t="n">
        <x:v>41</x:v>
      </x:c>
      <x:c r="E891" s="34" t="str">
        <x:v>Groom84</x:v>
      </x:c>
      <x:c r="F891" s="34" t="n">
        <x:v>51748</x:v>
      </x:c>
      <x:c r="G891" s="35" t="n">
        <x:f>IF(C891=0,0,F891/C891*B891)</x:f>
        <x:v>640.632774698558</x:v>
      </x:c>
    </x:row>
    <x:row r="892">
      <x:c r="A892" s="33" t="str">
        <x:v>Keeper Uprising</x:v>
      </x:c>
      <x:c r="B892" s="34" t="n">
        <x:v>89225</x:v>
      </x:c>
      <x:c r="C892" s="34" t="n">
        <x:v>7207273</x:v>
      </x:c>
      <x:c r="D892" s="34" t="n">
        <x:v>42</x:v>
      </x:c>
      <x:c r="E892" s="34" t="str">
        <x:v>maicon1357</x:v>
      </x:c>
      <x:c r="F892" s="34" t="n">
        <x:v>48548</x:v>
      </x:c>
      <x:c r="G892" s="35" t="n">
        <x:f>IF(C892=0,0,F892/C892*B892)</x:f>
        <x:v>601.0172363389038</x:v>
      </x:c>
    </x:row>
    <x:row r="893">
      <x:c r="A893" s="33" t="str">
        <x:v>Keeper Uprising</x:v>
      </x:c>
      <x:c r="B893" s="34" t="n">
        <x:v>89225</x:v>
      </x:c>
      <x:c r="C893" s="34" t="n">
        <x:v>7207273</x:v>
      </x:c>
      <x:c r="D893" s="34" t="n">
        <x:v>43</x:v>
      </x:c>
      <x:c r="E893" s="34" t="str">
        <x:v>LEOPOLD</x:v>
      </x:c>
      <x:c r="F893" s="34" t="n">
        <x:v>47724</x:v>
      </x:c>
      <x:c r="G893" s="35" t="n">
        <x:f>IF(C893=0,0,F893/C893*B893)</x:f>
        <x:v>590.8162352112928</x:v>
      </x:c>
    </x:row>
    <x:row r="894">
      <x:c r="A894" s="33" t="str">
        <x:v>Keeper Uprising</x:v>
      </x:c>
      <x:c r="B894" s="34" t="n">
        <x:v>89225</x:v>
      </x:c>
      <x:c r="C894" s="34" t="n">
        <x:v>7207273</x:v>
      </x:c>
      <x:c r="D894" s="34" t="n">
        <x:v>44</x:v>
      </x:c>
      <x:c r="E894" s="34" t="str">
        <x:v>Sum0l</x:v>
      </x:c>
      <x:c r="F894" s="34" t="n">
        <x:v>46834</x:v>
      </x:c>
      <x:c r="G894" s="35" t="n">
        <x:f>IF(C894=0,0,F894/C894*B894)</x:f>
        <x:v>579.798163605014</x:v>
      </x:c>
    </x:row>
    <x:row r="895">
      <x:c r="A895" s="33" t="str">
        <x:v>Keeper Uprising</x:v>
      </x:c>
      <x:c r="B895" s="34" t="n">
        <x:v>89225</x:v>
      </x:c>
      <x:c r="C895" s="34" t="n">
        <x:v>7207273</x:v>
      </x:c>
      <x:c r="D895" s="34" t="n">
        <x:v>45</x:v>
      </x:c>
      <x:c r="E895" s="34" t="str">
        <x:v>Dorfiuses</x:v>
      </x:c>
      <x:c r="F895" s="34" t="n">
        <x:v>43711</x:v>
      </x:c>
      <x:c r="G895" s="35" t="n">
        <x:f>IF(C895=0,0,F895/C895*B895)</x:f>
        <x:v>541.1358741371389</x:v>
      </x:c>
    </x:row>
    <x:row r="896">
      <x:c r="A896" s="33" t="str">
        <x:v>Keeper Uprising</x:v>
      </x:c>
      <x:c r="B896" s="34" t="n">
        <x:v>89225</x:v>
      </x:c>
      <x:c r="C896" s="34" t="n">
        <x:v>7207273</x:v>
      </x:c>
      <x:c r="D896" s="34" t="n">
        <x:v>46</x:v>
      </x:c>
      <x:c r="E896" s="34" t="str">
        <x:v>Amakv</x:v>
      </x:c>
      <x:c r="F896" s="34" t="n">
        <x:v>43485</x:v>
      </x:c>
      <x:c r="G896" s="35" t="n">
        <x:f>IF(C896=0,0,F896/C896*B896)</x:f>
        <x:v>538.3380267404884</x:v>
      </x:c>
    </x:row>
    <x:row r="897">
      <x:c r="A897" s="33" t="str">
        <x:v>Keeper Uprising</x:v>
      </x:c>
      <x:c r="B897" s="34" t="n">
        <x:v>89225</x:v>
      </x:c>
      <x:c r="C897" s="34" t="n">
        <x:v>7207273</x:v>
      </x:c>
      <x:c r="D897" s="34" t="n">
        <x:v>47</x:v>
      </x:c>
      <x:c r="E897" s="34" t="str">
        <x:v>Jabiroca1</x:v>
      </x:c>
      <x:c r="F897" s="34" t="n">
        <x:v>42286</x:v>
      </x:c>
      <x:c r="G897" s="35" t="n">
        <x:f>IF(C897=0,0,F897/C897*B897)</x:f>
        <x:v>523.4945797113555</x:v>
      </x:c>
    </x:row>
    <x:row r="898">
      <x:c r="A898" s="33" t="str">
        <x:v>Keeper Uprising</x:v>
      </x:c>
      <x:c r="B898" s="34" t="n">
        <x:v>89225</x:v>
      </x:c>
      <x:c r="C898" s="34" t="n">
        <x:v>7207273</x:v>
      </x:c>
      <x:c r="D898" s="34" t="n">
        <x:v>48</x:v>
      </x:c>
      <x:c r="E898" s="34" t="str">
        <x:v>SerpentVeil</x:v>
      </x:c>
      <x:c r="F898" s="34" t="n">
        <x:v>34540</x:v>
      </x:c>
      <x:c r="G898" s="35" t="n">
        <x:f>IF(C898=0,0,F898/C898*B898)</x:f>
        <x:v>427.6002171695175</x:v>
      </x:c>
    </x:row>
    <x:row r="899">
      <x:c r="A899" s="33" t="str">
        <x:v>Keeper Uprising</x:v>
      </x:c>
      <x:c r="B899" s="34" t="n">
        <x:v>89225</x:v>
      </x:c>
      <x:c r="C899" s="34" t="n">
        <x:v>7207273</x:v>
      </x:c>
      <x:c r="D899" s="34" t="n">
        <x:v>49</x:v>
      </x:c>
      <x:c r="E899" s="34" t="str">
        <x:v>Grockyy</x:v>
      </x:c>
      <x:c r="F899" s="34" t="n">
        <x:v>34331</x:v>
      </x:c>
      <x:c r="G899" s="35" t="n">
        <x:f>IF(C899=0,0,F899/C899*B899)</x:f>
        <x:v>425.01282732040255</x:v>
      </x:c>
    </x:row>
    <x:row r="900">
      <x:c r="A900" s="33" t="str">
        <x:v>Keeper Uprising</x:v>
      </x:c>
      <x:c r="B900" s="34" t="n">
        <x:v>89225</x:v>
      </x:c>
      <x:c r="C900" s="34" t="n">
        <x:v>7207273</x:v>
      </x:c>
      <x:c r="D900" s="34" t="n">
        <x:v>50</x:v>
      </x:c>
      <x:c r="E900" s="34" t="str">
        <x:v>Merlinavo</x:v>
      </x:c>
      <x:c r="F900" s="34" t="n">
        <x:v>34129</x:v>
      </x:c>
      <x:c r="G900" s="35" t="n">
        <x:f>IF(C900=0,0,F900/C900*B900)</x:f>
        <x:v>422.5120964614494</x:v>
      </x:c>
    </x:row>
    <x:row r="901">
      <x:c r="A901" s="33" t="str">
        <x:v>Keeper Uprising</x:v>
      </x:c>
      <x:c r="B901" s="34" t="n">
        <x:v>89225</x:v>
      </x:c>
      <x:c r="C901" s="34" t="n">
        <x:v>7207273</x:v>
      </x:c>
      <x:c r="D901" s="34" t="n">
        <x:v>51</x:v>
      </x:c>
      <x:c r="E901" s="34" t="str">
        <x:v>jokker1998</x:v>
      </x:c>
      <x:c r="F901" s="34" t="n">
        <x:v>34031</x:v>
      </x:c>
      <x:c r="G901" s="35" t="n">
        <x:f>IF(C901=0,0,F901/C901*B901)</x:f>
        <x:v>421.29887059918497</x:v>
      </x:c>
    </x:row>
    <x:row r="902">
      <x:c r="A902" s="33" t="str">
        <x:v>Keeper Uprising</x:v>
      </x:c>
      <x:c r="B902" s="34" t="n">
        <x:v>89225</x:v>
      </x:c>
      <x:c r="C902" s="34" t="n">
        <x:v>7207273</x:v>
      </x:c>
      <x:c r="D902" s="34" t="n">
        <x:v>52</x:v>
      </x:c>
      <x:c r="E902" s="34" t="str">
        <x:v>WellITKD</x:v>
      </x:c>
      <x:c r="F902" s="34" t="n">
        <x:v>29877</x:v>
      </x:c>
      <x:c r="G902" s="35" t="n">
        <x:f>IF(C902=0,0,F902/C902*B902)</x:f>
        <x:v>369.87294986605895</x:v>
      </x:c>
    </x:row>
    <x:row r="903">
      <x:c r="A903" s="33" t="str">
        <x:v>Keeper Uprising</x:v>
      </x:c>
      <x:c r="B903" s="34" t="n">
        <x:v>89225</x:v>
      </x:c>
      <x:c r="C903" s="34" t="n">
        <x:v>7207273</x:v>
      </x:c>
      <x:c r="D903" s="34" t="n">
        <x:v>53</x:v>
      </x:c>
      <x:c r="E903" s="34" t="str">
        <x:v>Karz1N</x:v>
      </x:c>
      <x:c r="F903" s="34" t="n">
        <x:v>28420</x:v>
      </x:c>
      <x:c r="G903" s="35" t="n">
        <x:f>IF(C903=0,0,F903/C903*B903)</x:f>
        <x:v>351.8355000566788</x:v>
      </x:c>
    </x:row>
    <x:row r="904">
      <x:c r="A904" s="33" t="str">
        <x:v>Keeper Uprising</x:v>
      </x:c>
      <x:c r="B904" s="34" t="n">
        <x:v>89225</x:v>
      </x:c>
      <x:c r="C904" s="34" t="n">
        <x:v>7207273</x:v>
      </x:c>
      <x:c r="D904" s="34" t="n">
        <x:v>54</x:v>
      </x:c>
      <x:c r="E904" s="34" t="str">
        <x:v>Djwd</x:v>
      </x:c>
      <x:c r="F904" s="34" t="n">
        <x:v>25628</x:v>
      </x:c>
      <x:c r="G904" s="35" t="n">
        <x:f>IF(C904=0,0,F904/C904*B904)</x:f>
        <x:v>317.27094283788057</x:v>
      </x:c>
    </x:row>
    <x:row r="905">
      <x:c r="A905" s="33" t="str">
        <x:v>Keeper Uprising</x:v>
      </x:c>
      <x:c r="B905" s="34" t="n">
        <x:v>89225</x:v>
      </x:c>
      <x:c r="C905" s="34" t="n">
        <x:v>7207273</x:v>
      </x:c>
      <x:c r="D905" s="34" t="n">
        <x:v>55</x:v>
      </x:c>
      <x:c r="E905" s="34" t="str">
        <x:v>julioczr</x:v>
      </x:c>
      <x:c r="F905" s="34" t="n">
        <x:v>22763</x:v>
      </x:c>
      <x:c r="G905" s="35" t="n">
        <x:f>IF(C905=0,0,F905/C905*B905)</x:f>
        <x:v>281.80265615025263</x:v>
      </x:c>
    </x:row>
    <x:row r="906">
      <x:c r="A906" s="33" t="str">
        <x:v>Keeper Uprising</x:v>
      </x:c>
      <x:c r="B906" s="34" t="n">
        <x:v>89225</x:v>
      </x:c>
      <x:c r="C906" s="34" t="n">
        <x:v>7207273</x:v>
      </x:c>
      <x:c r="D906" s="34" t="n">
        <x:v>56</x:v>
      </x:c>
      <x:c r="E906" s="34" t="str">
        <x:v>theYousek</x:v>
      </x:c>
      <x:c r="F906" s="34" t="n">
        <x:v>21667</x:v>
      </x:c>
      <x:c r="G906" s="35" t="n">
        <x:f>IF(C906=0,0,F906/C906*B906)</x:f>
        <x:v>268.2343342620711</x:v>
      </x:c>
    </x:row>
    <x:row r="907">
      <x:c r="A907" s="33" t="str">
        <x:v>Keeper Uprising</x:v>
      </x:c>
      <x:c r="B907" s="34" t="n">
        <x:v>89225</x:v>
      </x:c>
      <x:c r="C907" s="34" t="n">
        <x:v>7207273</x:v>
      </x:c>
      <x:c r="D907" s="34" t="n">
        <x:v>57</x:v>
      </x:c>
      <x:c r="E907" s="34" t="str">
        <x:v>KABRITONHO</x:v>
      </x:c>
      <x:c r="F907" s="34" t="n">
        <x:v>21602</x:v>
      </x:c>
      <x:c r="G907" s="35" t="n">
        <x:f>IF(C907=0,0,F907/C907*B907)</x:f>
        <x:v>267.42964363914064</x:v>
      </x:c>
    </x:row>
    <x:row r="908">
      <x:c r="A908" s="33" t="str">
        <x:v>Keeper Uprising</x:v>
      </x:c>
      <x:c r="B908" s="34" t="n">
        <x:v>89225</x:v>
      </x:c>
      <x:c r="C908" s="34" t="n">
        <x:v>7207273</x:v>
      </x:c>
      <x:c r="D908" s="34" t="n">
        <x:v>58</x:v>
      </x:c>
      <x:c r="E908" s="34" t="str">
        <x:v>JackTrip21</x:v>
      </x:c>
      <x:c r="F908" s="34" t="n">
        <x:v>21019</x:v>
      </x:c>
      <x:c r="G908" s="35" t="n">
        <x:f>IF(C908=0,0,F908/C908*B908)</x:f>
        <x:v>260.21218774424113</x:v>
      </x:c>
    </x:row>
    <x:row r="909">
      <x:c r="A909" s="33" t="str">
        <x:v>Keeper Uprising</x:v>
      </x:c>
      <x:c r="B909" s="34" t="n">
        <x:v>89225</x:v>
      </x:c>
      <x:c r="C909" s="34" t="n">
        <x:v>7207273</x:v>
      </x:c>
      <x:c r="D909" s="34" t="n">
        <x:v>59</x:v>
      </x:c>
      <x:c r="E909" s="34" t="str">
        <x:v>hardfedles</x:v>
      </x:c>
      <x:c r="F909" s="34" t="n">
        <x:v>19879</x:v>
      </x:c>
      <x:c r="G909" s="35" t="n">
        <x:f>IF(C909=0,0,F909/C909*B909)</x:f>
        <x:v>246.09915220361432</x:v>
      </x:c>
    </x:row>
    <x:row r="910">
      <x:c r="A910" s="33" t="str">
        <x:v>Keeper Uprising</x:v>
      </x:c>
      <x:c r="B910" s="34" t="n">
        <x:v>89225</x:v>
      </x:c>
      <x:c r="C910" s="34" t="n">
        <x:v>7207273</x:v>
      </x:c>
      <x:c r="D910" s="34" t="n">
        <x:v>60</x:v>
      </x:c>
      <x:c r="E910" s="34" t="str">
        <x:v>WarlockLord</x:v>
      </x:c>
      <x:c r="F910" s="34" t="n">
        <x:v>16834</x:v>
      </x:c>
      <x:c r="G910" s="35" t="n">
        <x:f>IF(C910=0,0,F910/C910*B910)</x:f>
        <x:v>208.40249148325586</x:v>
      </x:c>
    </x:row>
    <x:row r="911">
      <x:c r="A911" s="33" t="str">
        <x:v>Keeper Uprising</x:v>
      </x:c>
      <x:c r="B911" s="34" t="n">
        <x:v>89225</x:v>
      </x:c>
      <x:c r="C911" s="34" t="n">
        <x:v>7207273</x:v>
      </x:c>
      <x:c r="D911" s="34" t="n">
        <x:v>61</x:v>
      </x:c>
      <x:c r="E911" s="34" t="str">
        <x:v>IIIIIIIIIII</x:v>
      </x:c>
      <x:c r="F911" s="34" t="n">
        <x:v>16756</x:v>
      </x:c>
      <x:c r="G911" s="35" t="n">
        <x:f>IF(C911=0,0,F911/C911*B911)</x:f>
        <x:v>207.43686273573928</x:v>
      </x:c>
    </x:row>
    <x:row r="912">
      <x:c r="A912" s="33" t="str">
        <x:v>Keeper Uprising</x:v>
      </x:c>
      <x:c r="B912" s="34" t="n">
        <x:v>89225</x:v>
      </x:c>
      <x:c r="C912" s="34" t="n">
        <x:v>7207273</x:v>
      </x:c>
      <x:c r="D912" s="34" t="n">
        <x:v>62</x:v>
      </x:c>
      <x:c r="E912" s="34" t="str">
        <x:v>FullTime</x:v>
      </x:c>
      <x:c r="F912" s="34" t="n">
        <x:v>16599</x:v>
      </x:c>
      <x:c r="G912" s="35" t="n">
        <x:f>IF(C912=0,0,F912/C912*B912)</x:f>
        <x:v>205.49322538496875</x:v>
      </x:c>
    </x:row>
    <x:row r="913">
      <x:c r="A913" s="33" t="str">
        <x:v>Keeper Uprising</x:v>
      </x:c>
      <x:c r="B913" s="34" t="n">
        <x:v>89225</x:v>
      </x:c>
      <x:c r="C913" s="34" t="n">
        <x:v>7207273</x:v>
      </x:c>
      <x:c r="D913" s="34" t="n">
        <x:v>63</x:v>
      </x:c>
      <x:c r="E913" s="34" t="str">
        <x:v>Horsix</x:v>
      </x:c>
      <x:c r="F913" s="34" t="n">
        <x:v>16018</x:v>
      </x:c>
      <x:c r="G913" s="35" t="n">
        <x:f>IF(C913=0,0,F913/C913*B913)</x:f>
        <x:v>198.30052920154404</x:v>
      </x:c>
    </x:row>
    <x:row r="914">
      <x:c r="A914" s="33" t="str">
        <x:v>Keeper Uprising</x:v>
      </x:c>
      <x:c r="B914" s="34" t="n">
        <x:v>89225</x:v>
      </x:c>
      <x:c r="C914" s="34" t="n">
        <x:v>7207273</x:v>
      </x:c>
      <x:c r="D914" s="34" t="n">
        <x:v>64</x:v>
      </x:c>
      <x:c r="E914" s="34" t="str">
        <x:v>TioTrymmi</x:v>
      </x:c>
      <x:c r="F914" s="34" t="n">
        <x:v>15379</x:v>
      </x:c>
      <x:c r="G914" s="35" t="n">
        <x:f>IF(C914=0,0,F914/C914*B914)</x:f>
        <x:v>190.3898013853506</x:v>
      </x:c>
    </x:row>
    <x:row r="915">
      <x:c r="A915" s="33" t="str">
        <x:v>Keeper Uprising</x:v>
      </x:c>
      <x:c r="B915" s="34" t="n">
        <x:v>89225</x:v>
      </x:c>
      <x:c r="C915" s="34" t="n">
        <x:v>7207273</x:v>
      </x:c>
      <x:c r="D915" s="34" t="n">
        <x:v>65</x:v>
      </x:c>
      <x:c r="E915" s="34" t="str">
        <x:v>vitinraba</x:v>
      </x:c>
      <x:c r="F915" s="34" t="n">
        <x:v>15018</x:v>
      </x:c>
      <x:c r="G915" s="35" t="n">
        <x:f>IF(C915=0,0,F915/C915*B915)</x:f>
        <x:v>185.92067346415212</x:v>
      </x:c>
    </x:row>
    <x:row r="916">
      <x:c r="A916" s="33" t="str">
        <x:v>Keeper Uprising</x:v>
      </x:c>
      <x:c r="B916" s="34" t="n">
        <x:v>89225</x:v>
      </x:c>
      <x:c r="C916" s="34" t="n">
        <x:v>7207273</x:v>
      </x:c>
      <x:c r="D916" s="34" t="n">
        <x:v>66</x:v>
      </x:c>
      <x:c r="E916" s="34" t="str">
        <x:v>SeuDanadoo</x:v>
      </x:c>
      <x:c r="F916" s="34" t="n">
        <x:v>14666</x:v>
      </x:c>
      <x:c r="G916" s="35" t="n">
        <x:f>IF(C916=0,0,F916/C916*B916)</x:f>
        <x:v>181.56296424459015</x:v>
      </x:c>
    </x:row>
    <x:row r="917">
      <x:c r="A917" s="33" t="str">
        <x:v>Keeper Uprising</x:v>
      </x:c>
      <x:c r="B917" s="34" t="n">
        <x:v>89225</x:v>
      </x:c>
      <x:c r="C917" s="34" t="n">
        <x:v>7207273</x:v>
      </x:c>
      <x:c r="D917" s="34" t="n">
        <x:v>67</x:v>
      </x:c>
      <x:c r="E917" s="34" t="str">
        <x:v>HolyGyat2324</x:v>
      </x:c>
      <x:c r="F917" s="34" t="n">
        <x:v>13969</x:v>
      </x:c>
      <x:c r="G917" s="35" t="n">
        <x:f>IF(C917=0,0,F917/C917*B917)</x:f>
        <x:v>172.93420479562798</x:v>
      </x:c>
    </x:row>
    <x:row r="918">
      <x:c r="A918" s="33" t="str">
        <x:v>Keeper Uprising</x:v>
      </x:c>
      <x:c r="B918" s="34" t="n">
        <x:v>89225</x:v>
      </x:c>
      <x:c r="C918" s="34" t="n">
        <x:v>7207273</x:v>
      </x:c>
      <x:c r="D918" s="34" t="n">
        <x:v>68</x:v>
      </x:c>
      <x:c r="E918" s="34" t="str">
        <x:v>jarjarjeanbon</x:v>
      </x:c>
      <x:c r="F918" s="34" t="n">
        <x:v>13756</x:v>
      </x:c>
      <x:c r="G918" s="35" t="n">
        <x:f>IF(C918=0,0,F918/C918*B918)</x:f>
        <x:v>170.2972955235635</x:v>
      </x:c>
    </x:row>
    <x:row r="919">
      <x:c r="A919" s="33" t="str">
        <x:v>Keeper Uprising</x:v>
      </x:c>
      <x:c r="B919" s="34" t="n">
        <x:v>89225</x:v>
      </x:c>
      <x:c r="C919" s="34" t="n">
        <x:v>7207273</x:v>
      </x:c>
      <x:c r="D919" s="34" t="n">
        <x:v>69</x:v>
      </x:c>
      <x:c r="E919" s="34" t="str">
        <x:v>MonetaryMike</x:v>
      </x:c>
      <x:c r="F919" s="34" t="n">
        <x:v>13584</x:v>
      </x:c>
      <x:c r="G919" s="35" t="n">
        <x:f>IF(C919=0,0,F919/C919*B919)</x:f>
        <x:v>168.16796033673208</x:v>
      </x:c>
    </x:row>
    <x:row r="920">
      <x:c r="A920" s="33" t="str">
        <x:v>Keeper Uprising</x:v>
      </x:c>
      <x:c r="B920" s="34" t="n">
        <x:v>89225</x:v>
      </x:c>
      <x:c r="C920" s="34" t="n">
        <x:v>7207273</x:v>
      </x:c>
      <x:c r="D920" s="34" t="n">
        <x:v>70</x:v>
      </x:c>
      <x:c r="E920" s="34" t="str">
        <x:v>avven1996</x:v>
      </x:c>
      <x:c r="F920" s="34" t="n">
        <x:v>12695</x:v>
      </x:c>
      <x:c r="G920" s="35" t="n">
        <x:f>IF(C920=0,0,F920/C920*B920)</x:f>
        <x:v>157.16226858619063</x:v>
      </x:c>
    </x:row>
    <x:row r="921">
      <x:c r="A921" s="33" t="str">
        <x:v>Keeper Uprising</x:v>
      </x:c>
      <x:c r="B921" s="34" t="n">
        <x:v>89225</x:v>
      </x:c>
      <x:c r="C921" s="34" t="n">
        <x:v>7207273</x:v>
      </x:c>
      <x:c r="D921" s="34" t="n">
        <x:v>71</x:v>
      </x:c>
      <x:c r="E921" s="34" t="str">
        <x:v>Lumen821</x:v>
      </x:c>
      <x:c r="F921" s="34" t="n">
        <x:v>12348</x:v>
      </x:c>
      <x:c r="G921" s="35" t="n">
        <x:f>IF(C921=0,0,F921/C921*B921)</x:f>
        <x:v>152.86645864531565</x:v>
      </x:c>
    </x:row>
    <x:row r="922">
      <x:c r="A922" s="33" t="str">
        <x:v>Keeper Uprising</x:v>
      </x:c>
      <x:c r="B922" s="34" t="n">
        <x:v>89225</x:v>
      </x:c>
      <x:c r="C922" s="34" t="n">
        <x:v>7207273</x:v>
      </x:c>
      <x:c r="D922" s="34" t="n">
        <x:v>72</x:v>
      </x:c>
      <x:c r="E922" s="34" t="str">
        <x:v>Hachixi</x:v>
      </x:c>
      <x:c r="F922" s="34" t="n">
        <x:v>11966</x:v>
      </x:c>
      <x:c r="G922" s="35" t="n">
        <x:f>IF(C922=0,0,F922/C922*B922)</x:f>
        <x:v>148.1373537536319</x:v>
      </x:c>
    </x:row>
    <x:row r="923">
      <x:c r="A923" s="33" t="str">
        <x:v>Keeper Uprising</x:v>
      </x:c>
      <x:c r="B923" s="34" t="n">
        <x:v>89225</x:v>
      </x:c>
      <x:c r="C923" s="34" t="n">
        <x:v>7207273</x:v>
      </x:c>
      <x:c r="D923" s="34" t="n">
        <x:v>73</x:v>
      </x:c>
      <x:c r="E923" s="34" t="str">
        <x:v>Spotk</x:v>
      </x:c>
      <x:c r="F923" s="34" t="n">
        <x:v>11662</x:v>
      </x:c>
      <x:c r="G923" s="35" t="n">
        <x:f>IF(C923=0,0,F923/C923*B923)</x:f>
        <x:v>144.37387760946478</x:v>
      </x:c>
    </x:row>
    <x:row r="924">
      <x:c r="A924" s="33" t="str">
        <x:v>Keeper Uprising</x:v>
      </x:c>
      <x:c r="B924" s="34" t="n">
        <x:v>89225</x:v>
      </x:c>
      <x:c r="C924" s="34" t="n">
        <x:v>7207273</x:v>
      </x:c>
      <x:c r="D924" s="34" t="n">
        <x:v>74</x:v>
      </x:c>
      <x:c r="E924" s="34" t="str">
        <x:v>JJWAR</x:v>
      </x:c>
      <x:c r="F924" s="34" t="n">
        <x:v>11597</x:v>
      </x:c>
      <x:c r="G924" s="35" t="n">
        <x:f>IF(C924=0,0,F924/C924*B924)</x:f>
        <x:v>143.5691869865343</x:v>
      </x:c>
    </x:row>
    <x:row r="925">
      <x:c r="A925" s="33" t="str">
        <x:v>Keeper Uprising</x:v>
      </x:c>
      <x:c r="B925" s="34" t="n">
        <x:v>89225</x:v>
      </x:c>
      <x:c r="C925" s="34" t="n">
        <x:v>7207273</x:v>
      </x:c>
      <x:c r="D925" s="34" t="n">
        <x:v>75</x:v>
      </x:c>
      <x:c r="E925" s="34" t="str">
        <x:v>LORDJAPAA</x:v>
      </x:c>
      <x:c r="F925" s="34" t="n">
        <x:v>9358</x:v>
      </x:c>
      <x:c r="G925" s="35" t="n">
        <x:f>IF(C925=0,0,F925/C925*B925)</x:f>
        <x:v>115.85068999051374</x:v>
      </x:c>
    </x:row>
    <x:row r="926">
      <x:c r="A926" s="33" t="str">
        <x:v>Keeper Uprising</x:v>
      </x:c>
      <x:c r="B926" s="34" t="n">
        <x:v>89225</x:v>
      </x:c>
      <x:c r="C926" s="34" t="n">
        <x:v>7207273</x:v>
      </x:c>
      <x:c r="D926" s="34" t="n">
        <x:v>76</x:v>
      </x:c>
      <x:c r="E926" s="34" t="str">
        <x:v>ISpellNotFound</x:v>
      </x:c>
      <x:c r="F926" s="34" t="n">
        <x:v>9014</x:v>
      </x:c>
      <x:c r="G926" s="35" t="n">
        <x:f>IF(C926=0,0,F926/C926*B926)</x:f>
        <x:v>111.59201961685093</x:v>
      </x:c>
    </x:row>
    <x:row r="927">
      <x:c r="A927" s="33" t="str">
        <x:v>Keeper Uprising</x:v>
      </x:c>
      <x:c r="B927" s="34" t="n">
        <x:v>89225</x:v>
      </x:c>
      <x:c r="C927" s="34" t="n">
        <x:v>7207273</x:v>
      </x:c>
      <x:c r="D927" s="34" t="n">
        <x:v>77</x:v>
      </x:c>
      <x:c r="E927" s="34" t="str">
        <x:v>BWCTuga</x:v>
      </x:c>
      <x:c r="F927" s="34" t="n">
        <x:v>7966</x:v>
      </x:c>
      <x:c r="G927" s="35" t="n">
        <x:f>IF(C927=0,0,F927/C927*B927)</x:f>
        <x:v>98.61793080406416</x:v>
      </x:c>
    </x:row>
    <x:row r="928">
      <x:c r="A928" s="33" t="str">
        <x:v>Keeper Uprising</x:v>
      </x:c>
      <x:c r="B928" s="34" t="n">
        <x:v>89225</x:v>
      </x:c>
      <x:c r="C928" s="34" t="n">
        <x:v>7207273</x:v>
      </x:c>
      <x:c r="D928" s="34" t="n">
        <x:v>78</x:v>
      </x:c>
      <x:c r="E928" s="34" t="str">
        <x:v>Kuntakint</x:v>
      </x:c>
      <x:c r="F928" s="34" t="n">
        <x:v>6947</x:v>
      </x:c>
      <x:c r="G928" s="35" t="n">
        <x:f>IF(C928=0,0,F928/C928*B928)</x:f>
        <x:v>86.00285780766178</x:v>
      </x:c>
    </x:row>
    <x:row r="929">
      <x:c r="A929" s="33" t="str">
        <x:v>Keeper Uprising</x:v>
      </x:c>
      <x:c r="B929" s="34" t="n">
        <x:v>89225</x:v>
      </x:c>
      <x:c r="C929" s="34" t="n">
        <x:v>7207273</x:v>
      </x:c>
      <x:c r="D929" s="34" t="n">
        <x:v>79</x:v>
      </x:c>
      <x:c r="E929" s="34" t="str">
        <x:v>teessa</x:v>
      </x:c>
      <x:c r="F929" s="34" t="n">
        <x:v>5890</x:v>
      </x:c>
      <x:c r="G929" s="35" t="n">
        <x:f>IF(C929=0,0,F929/C929*B929)</x:f>
        <x:v>72.91735029323851</x:v>
      </x:c>
    </x:row>
    <x:row r="930">
      <x:c r="A930" s="33" t="str">
        <x:v>Keeper Uprising</x:v>
      </x:c>
      <x:c r="B930" s="34" t="n">
        <x:v>89225</x:v>
      </x:c>
      <x:c r="C930" s="34" t="n">
        <x:v>7207273</x:v>
      </x:c>
      <x:c r="D930" s="34" t="n">
        <x:v>80</x:v>
      </x:c>
      <x:c r="E930" s="34" t="str">
        <x:v>MissyPT</x:v>
      </x:c>
      <x:c r="F930" s="34" t="n">
        <x:v>5438</x:v>
      </x:c>
      <x:c r="G930" s="35" t="n">
        <x:f>IF(C930=0,0,F930/C930*B930)</x:f>
        <x:v>67.32165549993736</x:v>
      </x:c>
    </x:row>
    <x:row r="931">
      <x:c r="A931" s="33" t="str">
        <x:v>Keeper Uprising</x:v>
      </x:c>
      <x:c r="B931" s="34" t="n">
        <x:v>89225</x:v>
      </x:c>
      <x:c r="C931" s="34" t="n">
        <x:v>7207273</x:v>
      </x:c>
      <x:c r="D931" s="34" t="n">
        <x:v>81</x:v>
      </x:c>
      <x:c r="E931" s="34" t="str">
        <x:v>Mavin</x:v>
      </x:c>
      <x:c r="F931" s="34" t="n">
        <x:v>5125</x:v>
      </x:c>
      <x:c r="G931" s="35" t="n">
        <x:f>IF(C931=0,0,F931/C931*B931)</x:f>
        <x:v>63.446760654133676</x:v>
      </x:c>
    </x:row>
    <x:row r="932">
      <x:c r="A932" s="33" t="str">
        <x:v>Keeper Uprising</x:v>
      </x:c>
      <x:c r="B932" s="34" t="n">
        <x:v>89225</x:v>
      </x:c>
      <x:c r="C932" s="34" t="n">
        <x:v>7207273</x:v>
      </x:c>
      <x:c r="D932" s="34" t="n">
        <x:v>82</x:v>
      </x:c>
      <x:c r="E932" s="34" t="str">
        <x:v>jordansPt</x:v>
      </x:c>
      <x:c r="F932" s="34" t="n">
        <x:v>4689</x:v>
      </x:c>
      <x:c r="G932" s="35" t="n">
        <x:f>IF(C932=0,0,F932/C932*B932)</x:f>
        <x:v>58.04914355263079</x:v>
      </x:c>
    </x:row>
    <x:row r="933">
      <x:c r="A933" s="33" t="str">
        <x:v>Keeper Uprising</x:v>
      </x:c>
      <x:c r="B933" s="34" t="n">
        <x:v>89225</x:v>
      </x:c>
      <x:c r="C933" s="34" t="n">
        <x:v>7207273</x:v>
      </x:c>
      <x:c r="D933" s="34" t="n">
        <x:v>83</x:v>
      </x:c>
      <x:c r="E933" s="34" t="str">
        <x:v>OkiteKomi</x:v>
      </x:c>
      <x:c r="F933" s="34" t="n">
        <x:v>4662</x:v>
      </x:c>
      <x:c r="G933" s="35" t="n">
        <x:f>IF(C933=0,0,F933/C933*B933)</x:f>
        <x:v>57.71488744772121</x:v>
      </x:c>
    </x:row>
    <x:row r="934">
      <x:c r="A934" s="33" t="str">
        <x:v>Keeper Uprising</x:v>
      </x:c>
      <x:c r="B934" s="34" t="n">
        <x:v>89225</x:v>
      </x:c>
      <x:c r="C934" s="34" t="n">
        <x:v>7207273</x:v>
      </x:c>
      <x:c r="D934" s="34" t="n">
        <x:v>84</x:v>
      </x:c>
      <x:c r="E934" s="34" t="str">
        <x:v>olhaoPassarinho</x:v>
      </x:c>
      <x:c r="F934" s="34" t="n">
        <x:v>4619</x:v>
      </x:c>
      <x:c r="G934" s="35" t="n">
        <x:f>IF(C934=0,0,F934/C934*B934)</x:f>
        <x:v>57.18255365101336</x:v>
      </x:c>
    </x:row>
    <x:row r="935">
      <x:c r="A935" s="33" t="str">
        <x:v>Keeper Uprising</x:v>
      </x:c>
      <x:c r="B935" s="34" t="n">
        <x:v>89225</x:v>
      </x:c>
      <x:c r="C935" s="34" t="n">
        <x:v>7207273</x:v>
      </x:c>
      <x:c r="D935" s="34" t="n">
        <x:v>85</x:v>
      </x:c>
      <x:c r="E935" s="34" t="str">
        <x:v>BBob</x:v>
      </x:c>
      <x:c r="F935" s="34" t="n">
        <x:v>4145</x:v>
      </x:c>
      <x:c r="G935" s="35" t="n">
        <x:f>IF(C935=0,0,F935/C935*B935)</x:f>
        <x:v>51.31450203148958</x:v>
      </x:c>
    </x:row>
    <x:row r="936">
      <x:c r="A936" s="33" t="str">
        <x:v>Keeper Uprising</x:v>
      </x:c>
      <x:c r="B936" s="34" t="n">
        <x:v>89225</x:v>
      </x:c>
      <x:c r="C936" s="34" t="n">
        <x:v>7207273</x:v>
      </x:c>
      <x:c r="D936" s="34" t="n">
        <x:v>86</x:v>
      </x:c>
      <x:c r="E936" s="34" t="str">
        <x:v>VULTO</x:v>
      </x:c>
      <x:c r="F936" s="34" t="n">
        <x:v>3517</x:v>
      </x:c>
      <x:c r="G936" s="35" t="n">
        <x:f>IF(C936=0,0,F936/C936*B936)</x:f>
        <x:v>43.53995262840744</x:v>
      </x:c>
    </x:row>
    <x:row r="937">
      <x:c r="A937" s="33" t="str">
        <x:v>Keeper Uprising</x:v>
      </x:c>
      <x:c r="B937" s="34" t="n">
        <x:v>89225</x:v>
      </x:c>
      <x:c r="C937" s="34" t="n">
        <x:v>7207273</x:v>
      </x:c>
      <x:c r="D937" s="34" t="n">
        <x:v>87</x:v>
      </x:c>
      <x:c r="E937" s="34" t="str">
        <x:v>morrty</x:v>
      </x:c>
      <x:c r="F937" s="34" t="n">
        <x:v>3136</x:v>
      </x:c>
      <x:c r="G937" s="35" t="n">
        <x:f>IF(C937=0,0,F937/C937*B937)</x:f>
        <x:v>38.823227592461116</x:v>
      </x:c>
    </x:row>
    <x:row r="938">
      <x:c r="A938" s="33" t="str">
        <x:v>Keeper Uprising</x:v>
      </x:c>
      <x:c r="B938" s="34" t="n">
        <x:v>89225</x:v>
      </x:c>
      <x:c r="C938" s="34" t="n">
        <x:v>7207273</x:v>
      </x:c>
      <x:c r="D938" s="34" t="n">
        <x:v>88</x:v>
      </x:c>
      <x:c r="E938" s="34" t="str">
        <x:v>Ruizao</x:v>
      </x:c>
      <x:c r="F938" s="34" t="n">
        <x:v>2959</x:v>
      </x:c>
      <x:c r="G938" s="35" t="n">
        <x:f>IF(C938=0,0,F938/C938*B938)</x:f>
        <x:v>36.63199312694274</x:v>
      </x:c>
    </x:row>
    <x:row r="939">
      <x:c r="A939" s="33" t="str">
        <x:v>Keeper Uprising</x:v>
      </x:c>
      <x:c r="B939" s="34" t="n">
        <x:v>89225</x:v>
      </x:c>
      <x:c r="C939" s="34" t="n">
        <x:v>7207273</x:v>
      </x:c>
      <x:c r="D939" s="34" t="n">
        <x:v>89</x:v>
      </x:c>
      <x:c r="E939" s="34" t="str">
        <x:v>1NightReaperLWY</x:v>
      </x:c>
      <x:c r="F939" s="34" t="n">
        <x:v>2692</x:v>
      </x:c>
      <x:c r="G939" s="35" t="n">
        <x:f>IF(C939=0,0,F939/C939*B939)</x:f>
        <x:v>33.3265716450591</x:v>
      </x:c>
    </x:row>
    <x:row r="940">
      <x:c r="A940" s="33" t="str">
        <x:v>Keeper Uprising</x:v>
      </x:c>
      <x:c r="B940" s="34" t="n">
        <x:v>89225</x:v>
      </x:c>
      <x:c r="C940" s="34" t="n">
        <x:v>7207273</x:v>
      </x:c>
      <x:c r="D940" s="34" t="n">
        <x:v>90</x:v>
      </x:c>
      <x:c r="E940" s="34" t="str">
        <x:v>Chuckzerah</x:v>
      </x:c>
      <x:c r="F940" s="34" t="n">
        <x:v>2640</x:v>
      </x:c>
      <x:c r="G940" s="35" t="n">
        <x:f>IF(C940=0,0,F940/C940*B940)</x:f>
        <x:v>32.682819146714714</x:v>
      </x:c>
    </x:row>
    <x:row r="941">
      <x:c r="A941" s="33" t="str">
        <x:v>Keeper Uprising</x:v>
      </x:c>
      <x:c r="B941" s="34" t="n">
        <x:v>89225</x:v>
      </x:c>
      <x:c r="C941" s="34" t="n">
        <x:v>7207273</x:v>
      </x:c>
      <x:c r="D941" s="34" t="n">
        <x:v>91</x:v>
      </x:c>
      <x:c r="E941" s="34" t="str">
        <x:v>zBrunooHD</x:v>
      </x:c>
      <x:c r="F941" s="34" t="n">
        <x:v>2625</x:v>
      </x:c>
      <x:c r="G941" s="35" t="n">
        <x:f>IF(C941=0,0,F941/C941*B941)</x:f>
        <x:v>32.49712131065384</x:v>
      </x:c>
    </x:row>
    <x:row r="942">
      <x:c r="A942" s="33" t="str">
        <x:v>Keeper Uprising</x:v>
      </x:c>
      <x:c r="B942" s="34" t="n">
        <x:v>89225</x:v>
      </x:c>
      <x:c r="C942" s="34" t="n">
        <x:v>7207273</x:v>
      </x:c>
      <x:c r="D942" s="34" t="n">
        <x:v>92</x:v>
      </x:c>
      <x:c r="E942" s="34" t="str">
        <x:v>Stresseed</x:v>
      </x:c>
      <x:c r="F942" s="34" t="n">
        <x:v>2573</x:v>
      </x:c>
      <x:c r="G942" s="35" t="n">
        <x:f>IF(C942=0,0,F942/C942*B942)</x:f>
        <x:v>31.853368812309455</x:v>
      </x:c>
    </x:row>
    <x:row r="943">
      <x:c r="A943" s="33" t="str">
        <x:v>Keeper Uprising</x:v>
      </x:c>
      <x:c r="B943" s="34" t="n">
        <x:v>89225</x:v>
      </x:c>
      <x:c r="C943" s="34" t="n">
        <x:v>7207273</x:v>
      </x:c>
      <x:c r="D943" s="34" t="n">
        <x:v>93</x:v>
      </x:c>
      <x:c r="E943" s="34" t="str">
        <x:v>3YS4N</x:v>
      </x:c>
      <x:c r="F943" s="34" t="n">
        <x:v>2538</x:v>
      </x:c>
      <x:c r="G943" s="35" t="n">
        <x:f>IF(C943=0,0,F943/C943*B943)</x:f>
        <x:v>31.42007386150074</x:v>
      </x:c>
    </x:row>
    <x:row r="944">
      <x:c r="A944" s="33" t="str">
        <x:v>Keeper Uprising</x:v>
      </x:c>
      <x:c r="B944" s="34" t="n">
        <x:v>89225</x:v>
      </x:c>
      <x:c r="C944" s="34" t="n">
        <x:v>7207273</x:v>
      </x:c>
      <x:c r="D944" s="34" t="n">
        <x:v>94</x:v>
      </x:c>
      <x:c r="E944" s="34" t="str">
        <x:v>Merus</x:v>
      </x:c>
      <x:c r="F944" s="34" t="n">
        <x:v>2508</x:v>
      </x:c>
      <x:c r="G944" s="35" t="n">
        <x:f>IF(C944=0,0,F944/C944*B944)</x:f>
        <x:v>31.048678189378975</x:v>
      </x:c>
    </x:row>
    <x:row r="945">
      <x:c r="A945" s="33" t="str">
        <x:v>Keeper Uprising</x:v>
      </x:c>
      <x:c r="B945" s="34" t="n">
        <x:v>89225</x:v>
      </x:c>
      <x:c r="C945" s="34" t="n">
        <x:v>7207273</x:v>
      </x:c>
      <x:c r="D945" s="34" t="n">
        <x:v>95</x:v>
      </x:c>
      <x:c r="E945" s="34" t="str">
        <x:v>NamikazePT</x:v>
      </x:c>
      <x:c r="F945" s="34" t="n">
        <x:v>2280</x:v>
      </x:c>
      <x:c r="G945" s="35" t="n">
        <x:f>IF(C945=0,0,F945/C945*B945)</x:f>
        <x:v>28.226071081253615</x:v>
      </x:c>
    </x:row>
    <x:row r="946">
      <x:c r="A946" s="33" t="str">
        <x:v>Keeper Uprising</x:v>
      </x:c>
      <x:c r="B946" s="34" t="n">
        <x:v>89225</x:v>
      </x:c>
      <x:c r="C946" s="34" t="n">
        <x:v>7207273</x:v>
      </x:c>
      <x:c r="D946" s="34" t="n">
        <x:v>96</x:v>
      </x:c>
      <x:c r="E946" s="34" t="str">
        <x:v>XIShanksXI</x:v>
      </x:c>
      <x:c r="F946" s="34" t="n">
        <x:v>2265</x:v>
      </x:c>
      <x:c r="G946" s="35" t="n">
        <x:f>IF(C946=0,0,F946/C946*B946)</x:f>
        <x:v>28.04037324519274</x:v>
      </x:c>
    </x:row>
    <x:row r="947">
      <x:c r="A947" s="33" t="str">
        <x:v>Keeper Uprising</x:v>
      </x:c>
      <x:c r="B947" s="34" t="n">
        <x:v>89225</x:v>
      </x:c>
      <x:c r="C947" s="34" t="n">
        <x:v>7207273</x:v>
      </x:c>
      <x:c r="D947" s="34" t="n">
        <x:v>97</x:v>
      </x:c>
      <x:c r="E947" s="34" t="str">
        <x:v>Superrr2855</x:v>
      </x:c>
      <x:c r="F947" s="34" t="n">
        <x:v>2257</x:v>
      </x:c>
      <x:c r="G947" s="35" t="n">
        <x:f>IF(C947=0,0,F947/C947*B947)</x:f>
        <x:v>27.941334399293602</x:v>
      </x:c>
    </x:row>
    <x:row r="948">
      <x:c r="A948" s="33" t="str">
        <x:v>Keeper Uprising</x:v>
      </x:c>
      <x:c r="B948" s="34" t="n">
        <x:v>89225</x:v>
      </x:c>
      <x:c r="C948" s="34" t="n">
        <x:v>7207273</x:v>
      </x:c>
      <x:c r="D948" s="34" t="n">
        <x:v>98</x:v>
      </x:c>
      <x:c r="E948" s="34" t="str">
        <x:v>YukitoRaiden</x:v>
      </x:c>
      <x:c r="F948" s="34" t="n">
        <x:v>2107</x:v>
      </x:c>
      <x:c r="G948" s="35" t="n">
        <x:f>IF(C948=0,0,F948/C948*B948)</x:f>
        <x:v>26.08435603868481</x:v>
      </x:c>
    </x:row>
    <x:row r="949">
      <x:c r="A949" s="33" t="str">
        <x:v>Keeper Uprising</x:v>
      </x:c>
      <x:c r="B949" s="34" t="n">
        <x:v>89225</x:v>
      </x:c>
      <x:c r="C949" s="34" t="n">
        <x:v>7207273</x:v>
      </x:c>
      <x:c r="D949" s="34" t="n">
        <x:v>99</x:v>
      </x:c>
      <x:c r="E949" s="34" t="str">
        <x:v>julszthaone</x:v>
      </x:c>
      <x:c r="F949" s="34" t="n">
        <x:v>2080</x:v>
      </x:c>
      <x:c r="G949" s="35" t="n">
        <x:f>IF(C949=0,0,F949/C949*B949)</x:f>
        <x:v>25.75009993377523</x:v>
      </x:c>
    </x:row>
    <x:row r="950">
      <x:c r="A950" s="33" t="str">
        <x:v>Keeper Uprising</x:v>
      </x:c>
      <x:c r="B950" s="34" t="n">
        <x:v>89225</x:v>
      </x:c>
      <x:c r="C950" s="34" t="n">
        <x:v>7207273</x:v>
      </x:c>
      <x:c r="D950" s="34" t="n">
        <x:v>100</x:v>
      </x:c>
      <x:c r="E950" s="34" t="str">
        <x:v>Hlinha</x:v>
      </x:c>
      <x:c r="F950" s="34" t="n">
        <x:v>2032</x:v>
      </x:c>
      <x:c r="G950" s="35" t="n">
        <x:f>IF(C950=0,0,F950/C950*B950)</x:f>
        <x:v>25.15586685838042</x:v>
      </x:c>
    </x:row>
    <x:row r="951">
      <x:c r="A951" s="33" t="str">
        <x:v>Keeper Uprising</x:v>
      </x:c>
      <x:c r="B951" s="34" t="n">
        <x:v>89225</x:v>
      </x:c>
      <x:c r="C951" s="34" t="n">
        <x:v>7207273</x:v>
      </x:c>
      <x:c r="D951" s="34" t="n">
        <x:v>101</x:v>
      </x:c>
      <x:c r="E951" s="34" t="str">
        <x:v>kadigo</x:v>
      </x:c>
      <x:c r="F951" s="34" t="n">
        <x:v>1981</x:v>
      </x:c>
      <x:c r="G951" s="35" t="n">
        <x:f>IF(C951=0,0,F951/C951*B951)</x:f>
        <x:v>24.524494215773426</x:v>
      </x:c>
    </x:row>
    <x:row r="952">
      <x:c r="A952" s="33" t="str">
        <x:v>Keeper Uprising</x:v>
      </x:c>
      <x:c r="B952" s="34" t="n">
        <x:v>89225</x:v>
      </x:c>
      <x:c r="C952" s="34" t="n">
        <x:v>7207273</x:v>
      </x:c>
      <x:c r="D952" s="34" t="n">
        <x:v>102</x:v>
      </x:c>
      <x:c r="E952" s="34" t="str">
        <x:v>1SkylifhtLWY</x:v>
      </x:c>
      <x:c r="F952" s="34" t="n">
        <x:v>1920</x:v>
      </x:c>
      <x:c r="G952" s="35" t="n">
        <x:f>IF(C952=0,0,F952/C952*B952)</x:f>
        <x:v>23.76932301579252</x:v>
      </x:c>
    </x:row>
    <x:row r="953">
      <x:c r="A953" s="33" t="str">
        <x:v>Keeper Uprising</x:v>
      </x:c>
      <x:c r="B953" s="34" t="n">
        <x:v>89225</x:v>
      </x:c>
      <x:c r="C953" s="34" t="n">
        <x:v>7207273</x:v>
      </x:c>
      <x:c r="D953" s="34" t="n">
        <x:v>103</x:v>
      </x:c>
      <x:c r="E953" s="34" t="str">
        <x:v>CunaPrata</x:v>
      </x:c>
      <x:c r="F953" s="34" t="n">
        <x:v>1888</x:v>
      </x:c>
      <x:c r="G953" s="35" t="n">
        <x:f>IF(C953=0,0,F953/C953*B953)</x:f>
        <x:v>23.37316763219598</x:v>
      </x:c>
    </x:row>
    <x:row r="954">
      <x:c r="A954" s="33" t="str">
        <x:v>Keeper Uprising</x:v>
      </x:c>
      <x:c r="B954" s="34" t="n">
        <x:v>89225</x:v>
      </x:c>
      <x:c r="C954" s="34" t="n">
        <x:v>7207273</x:v>
      </x:c>
      <x:c r="D954" s="34" t="n">
        <x:v>104</x:v>
      </x:c>
      <x:c r="E954" s="34" t="str">
        <x:v>IPPON</x:v>
      </x:c>
      <x:c r="F954" s="34" t="n">
        <x:v>1885</x:v>
      </x:c>
      <x:c r="G954" s="35" t="n">
        <x:f>IF(C954=0,0,F954/C954*B954)</x:f>
        <x:v>23.336028064983804</x:v>
      </x:c>
    </x:row>
    <x:row r="955">
      <x:c r="A955" s="33" t="str">
        <x:v>Keeper Uprising</x:v>
      </x:c>
      <x:c r="B955" s="34" t="n">
        <x:v>89225</x:v>
      </x:c>
      <x:c r="C955" s="34" t="n">
        <x:v>7207273</x:v>
      </x:c>
      <x:c r="D955" s="34" t="n">
        <x:v>105</x:v>
      </x:c>
      <x:c r="E955" s="34" t="str">
        <x:v>LuiziN</x:v>
      </x:c>
      <x:c r="F955" s="34" t="n">
        <x:v>1749</x:v>
      </x:c>
      <x:c r="G955" s="35" t="n">
        <x:f>IF(C955=0,0,F955/C955*B955)</x:f>
        <x:v>21.6523676846985</x:v>
      </x:c>
    </x:row>
    <x:row r="956">
      <x:c r="A956" s="33" t="str">
        <x:v>Keeper Uprising</x:v>
      </x:c>
      <x:c r="B956" s="34" t="n">
        <x:v>89225</x:v>
      </x:c>
      <x:c r="C956" s="34" t="n">
        <x:v>7207273</x:v>
      </x:c>
      <x:c r="D956" s="34" t="n">
        <x:v>106</x:v>
      </x:c>
      <x:c r="E956" s="34" t="str">
        <x:v>TheBad</x:v>
      </x:c>
      <x:c r="F956" s="34" t="n">
        <x:v>1712</x:v>
      </x:c>
      <x:c r="G956" s="35" t="n">
        <x:f>IF(C956=0,0,F956/C956*B956)</x:f>
        <x:v>21.194313022415</x:v>
      </x:c>
    </x:row>
    <x:row r="957">
      <x:c r="A957" s="33" t="str">
        <x:v>Keeper Uprising</x:v>
      </x:c>
      <x:c r="B957" s="34" t="n">
        <x:v>89225</x:v>
      </x:c>
      <x:c r="C957" s="34" t="n">
        <x:v>7207273</x:v>
      </x:c>
      <x:c r="D957" s="34" t="n">
        <x:v>107</x:v>
      </x:c>
      <x:c r="E957" s="34" t="str">
        <x:v>VnfaTI</x:v>
      </x:c>
      <x:c r="F957" s="34" t="n">
        <x:v>1369</x:v>
      </x:c>
      <x:c r="G957" s="35" t="n">
        <x:f>IF(C957=0,0,F957/C957*B957)</x:f>
        <x:v>16.94802250448956</x:v>
      </x:c>
    </x:row>
    <x:row r="958">
      <x:c r="A958" s="33" t="str">
        <x:v>Keeper Uprising</x:v>
      </x:c>
      <x:c r="B958" s="34" t="n">
        <x:v>89225</x:v>
      </x:c>
      <x:c r="C958" s="34" t="n">
        <x:v>7207273</x:v>
      </x:c>
      <x:c r="D958" s="34" t="n">
        <x:v>108</x:v>
      </x:c>
      <x:c r="E958" s="34" t="str">
        <x:v>Imortal</x:v>
      </x:c>
      <x:c r="F958" s="34" t="n">
        <x:v>1314</x:v>
      </x:c>
      <x:c r="G958" s="35" t="n">
        <x:f>IF(C958=0,0,F958/C958*B958)</x:f>
        <x:v>16.267130438933005</x:v>
      </x:c>
    </x:row>
    <x:row r="959">
      <x:c r="A959" s="33" t="str">
        <x:v>Keeper Uprising</x:v>
      </x:c>
      <x:c r="B959" s="34" t="n">
        <x:v>89225</x:v>
      </x:c>
      <x:c r="C959" s="34" t="n">
        <x:v>7207273</x:v>
      </x:c>
      <x:c r="D959" s="34" t="n">
        <x:v>109</x:v>
      </x:c>
      <x:c r="E959" s="34" t="str">
        <x:v>TensaiPT</x:v>
      </x:c>
      <x:c r="F959" s="34" t="n">
        <x:v>1191</x:v>
      </x:c>
      <x:c r="G959" s="35" t="n">
        <x:f>IF(C959=0,0,F959/C959*B959)</x:f>
        <x:v>14.744408183233796</x:v>
      </x:c>
    </x:row>
    <x:row r="960">
      <x:c r="A960" s="33" t="str">
        <x:v>Keeper Uprising</x:v>
      </x:c>
      <x:c r="B960" s="34" t="n">
        <x:v>89225</x:v>
      </x:c>
      <x:c r="C960" s="34" t="n">
        <x:v>7207273</x:v>
      </x:c>
      <x:c r="D960" s="34" t="n">
        <x:v>110</x:v>
      </x:c>
      <x:c r="E960" s="34" t="str">
        <x:v>Superpk</x:v>
      </x:c>
      <x:c r="F960" s="34" t="n">
        <x:v>1020</x:v>
      </x:c>
      <x:c r="G960" s="35" t="n">
        <x:f>IF(C960=0,0,F960/C960*B960)</x:f>
        <x:v>12.627452852139777</x:v>
      </x:c>
    </x:row>
    <x:row r="961">
      <x:c r="A961" s="33" t="str">
        <x:v>Keeper Uprising</x:v>
      </x:c>
      <x:c r="B961" s="34" t="n">
        <x:v>89225</x:v>
      </x:c>
      <x:c r="C961" s="34" t="n">
        <x:v>7207273</x:v>
      </x:c>
      <x:c r="D961" s="34" t="n">
        <x:v>111</x:v>
      </x:c>
      <x:c r="E961" s="34" t="str">
        <x:v>JoxPT</x:v>
      </x:c>
      <x:c r="F961" s="34" t="n">
        <x:v>1012</x:v>
      </x:c>
      <x:c r="G961" s="35" t="n">
        <x:f>IF(C961=0,0,F961/C961*B961)</x:f>
        <x:v>12.52841400624064</x:v>
      </x:c>
    </x:row>
    <x:row r="962">
      <x:c r="A962" s="33" t="str">
        <x:v>Keeper Uprising</x:v>
      </x:c>
      <x:c r="B962" s="34" t="n">
        <x:v>89225</x:v>
      </x:c>
      <x:c r="C962" s="34" t="n">
        <x:v>7207273</x:v>
      </x:c>
      <x:c r="D962" s="34" t="n">
        <x:v>112</x:v>
      </x:c>
      <x:c r="E962" s="34" t="str">
        <x:v>Davllmix</x:v>
      </x:c>
      <x:c r="F962" s="34" t="n">
        <x:v>977</x:v>
      </x:c>
      <x:c r="G962" s="35" t="n">
        <x:f>IF(C962=0,0,F962/C962*B962)</x:f>
        <x:v>12.095119055431923</x:v>
      </x:c>
    </x:row>
    <x:row r="963">
      <x:c r="A963" s="33" t="str">
        <x:v>Keeper Uprising</x:v>
      </x:c>
      <x:c r="B963" s="34" t="n">
        <x:v>89225</x:v>
      </x:c>
      <x:c r="C963" s="34" t="n">
        <x:v>7207273</x:v>
      </x:c>
      <x:c r="D963" s="34" t="n">
        <x:v>113</x:v>
      </x:c>
      <x:c r="E963" s="34" t="str">
        <x:v>TheoTheLion</x:v>
      </x:c>
      <x:c r="F963" s="34" t="n">
        <x:v>936</x:v>
      </x:c>
      <x:c r="G963" s="35" t="n">
        <x:f>IF(C963=0,0,F963/C963*B963)</x:f>
        <x:v>11.587544970198852</x:v>
      </x:c>
    </x:row>
    <x:row r="964">
      <x:c r="A964" s="33" t="str">
        <x:v>Keeper Uprising</x:v>
      </x:c>
      <x:c r="B964" s="34" t="n">
        <x:v>89225</x:v>
      </x:c>
      <x:c r="C964" s="34" t="n">
        <x:v>7207273</x:v>
      </x:c>
      <x:c r="D964" s="34" t="n">
        <x:v>114</x:v>
      </x:c>
      <x:c r="E964" s="34" t="str">
        <x:v>DanyV2</x:v>
      </x:c>
      <x:c r="F964" s="34" t="n">
        <x:v>910</x:v>
      </x:c>
      <x:c r="G964" s="35" t="n">
        <x:f>IF(C964=0,0,F964/C964*B964)</x:f>
        <x:v>11.265668721026662</x:v>
      </x:c>
    </x:row>
    <x:row r="965">
      <x:c r="A965" s="33" t="str">
        <x:v>Keeper Uprising</x:v>
      </x:c>
      <x:c r="B965" s="34" t="n">
        <x:v>89225</x:v>
      </x:c>
      <x:c r="C965" s="34" t="n">
        <x:v>7207273</x:v>
      </x:c>
      <x:c r="D965" s="34" t="n">
        <x:v>115</x:v>
      </x:c>
      <x:c r="E965" s="34" t="str">
        <x:v>OWERLORI123</x:v>
      </x:c>
      <x:c r="F965" s="34" t="n">
        <x:v>849</x:v>
      </x:c>
      <x:c r="G965" s="35" t="n">
        <x:f>IF(C965=0,0,F965/C965*B965)</x:f>
        <x:v>10.510497521045755</x:v>
      </x:c>
    </x:row>
    <x:row r="966">
      <x:c r="A966" s="33" t="str">
        <x:v>Keeper Uprising</x:v>
      </x:c>
      <x:c r="B966" s="34" t="n">
        <x:v>89225</x:v>
      </x:c>
      <x:c r="C966" s="34" t="n">
        <x:v>7207273</x:v>
      </x:c>
      <x:c r="D966" s="34" t="n">
        <x:v>116</x:v>
      </x:c>
      <x:c r="E966" s="34" t="str">
        <x:v>RodriRowanShade</x:v>
      </x:c>
      <x:c r="F966" s="34" t="n">
        <x:v>809</x:v>
      </x:c>
      <x:c r="G966" s="35" t="n">
        <x:f>IF(C966=0,0,F966/C966*B966)</x:f>
        <x:v>10.015303291550078</x:v>
      </x:c>
    </x:row>
    <x:row r="967">
      <x:c r="A967" s="33" t="str">
        <x:v>Keeper Uprising</x:v>
      </x:c>
      <x:c r="B967" s="34" t="n">
        <x:v>89225</x:v>
      </x:c>
      <x:c r="C967" s="34" t="n">
        <x:v>7207273</x:v>
      </x:c>
      <x:c r="D967" s="34" t="n">
        <x:v>117</x:v>
      </x:c>
      <x:c r="E967" s="34" t="str">
        <x:v>MRBrutu</x:v>
      </x:c>
      <x:c r="F967" s="34" t="n">
        <x:v>808</x:v>
      </x:c>
      <x:c r="G967" s="35" t="n">
        <x:f>IF(C967=0,0,F967/C967*B967)</x:f>
        <x:v>10.002923435812685</x:v>
      </x:c>
    </x:row>
    <x:row r="968">
      <x:c r="A968" s="33" t="str">
        <x:v>Keeper Uprising</x:v>
      </x:c>
      <x:c r="B968" s="34" t="n">
        <x:v>89225</x:v>
      </x:c>
      <x:c r="C968" s="34" t="n">
        <x:v>7207273</x:v>
      </x:c>
      <x:c r="D968" s="34" t="n">
        <x:v>118</x:v>
      </x:c>
      <x:c r="E968" s="34" t="str">
        <x:v>Tuga95</x:v>
      </x:c>
      <x:c r="F968" s="34" t="n">
        <x:v>765</x:v>
      </x:c>
      <x:c r="G968" s="35" t="n">
        <x:f>IF(C968=0,0,F968/C968*B968)</x:f>
        <x:v>9.470589639104832</x:v>
      </x:c>
    </x:row>
    <x:row r="969">
      <x:c r="A969" s="33" t="str">
        <x:v>Keeper Uprising</x:v>
      </x:c>
      <x:c r="B969" s="34" t="n">
        <x:v>89225</x:v>
      </x:c>
      <x:c r="C969" s="34" t="n">
        <x:v>7207273</x:v>
      </x:c>
      <x:c r="D969" s="34" t="n">
        <x:v>119</x:v>
      </x:c>
      <x:c r="E969" s="34" t="str">
        <x:v>2PowerGiat</x:v>
      </x:c>
      <x:c r="F969" s="34" t="n">
        <x:v>722</x:v>
      </x:c>
      <x:c r="G969" s="35" t="n">
        <x:f>IF(C969=0,0,F969/C969*B969)</x:f>
        <x:v>8.938255842396979</x:v>
      </x:c>
    </x:row>
    <x:row r="970">
      <x:c r="A970" s="33" t="str">
        <x:v>Keeper Uprising</x:v>
      </x:c>
      <x:c r="B970" s="34" t="n">
        <x:v>89225</x:v>
      </x:c>
      <x:c r="C970" s="34" t="n">
        <x:v>7207273</x:v>
      </x:c>
      <x:c r="D970" s="34" t="n">
        <x:v>120</x:v>
      </x:c>
      <x:c r="E970" s="34" t="str">
        <x:v>MachoAlpha</x:v>
      </x:c>
      <x:c r="F970" s="34" t="n">
        <x:v>677</x:v>
      </x:c>
      <x:c r="G970" s="35" t="n">
        <x:f>IF(C970=0,0,F970/C970*B970)</x:f>
        <x:v>8.381162334214341</x:v>
      </x:c>
    </x:row>
    <x:row r="971">
      <x:c r="A971" s="33" t="str">
        <x:v>Keeper Uprising</x:v>
      </x:c>
      <x:c r="B971" s="34" t="n">
        <x:v>89225</x:v>
      </x:c>
      <x:c r="C971" s="34" t="n">
        <x:v>7207273</x:v>
      </x:c>
      <x:c r="D971" s="34" t="n">
        <x:v>121</x:v>
      </x:c>
      <x:c r="E971" s="34" t="str">
        <x:v>AnjoThall</x:v>
      </x:c>
      <x:c r="F971" s="34" t="n">
        <x:v>672</x:v>
      </x:c>
      <x:c r="G971" s="35" t="n">
        <x:f>IF(C971=0,0,F971/C971*B971)</x:f>
        <x:v>8.319263055527383</x:v>
      </x:c>
    </x:row>
    <x:row r="972">
      <x:c r="A972" s="33" t="str">
        <x:v>Keeper Uprising</x:v>
      </x:c>
      <x:c r="B972" s="34" t="n">
        <x:v>89225</x:v>
      </x:c>
      <x:c r="C972" s="34" t="n">
        <x:v>7207273</x:v>
      </x:c>
      <x:c r="D972" s="34" t="n">
        <x:v>122</x:v>
      </x:c>
      <x:c r="E972" s="34" t="str">
        <x:v>SuSex</x:v>
      </x:c>
      <x:c r="F972" s="34" t="n">
        <x:v>671</x:v>
      </x:c>
      <x:c r="G972" s="35" t="n">
        <x:f>IF(C972=0,0,F972/C972*B972)</x:f>
        <x:v>8.30688319978999</x:v>
      </x:c>
    </x:row>
    <x:row r="973">
      <x:c r="A973" s="33" t="str">
        <x:v>Keeper Uprising</x:v>
      </x:c>
      <x:c r="B973" s="34" t="n">
        <x:v>89225</x:v>
      </x:c>
      <x:c r="C973" s="34" t="n">
        <x:v>7207273</x:v>
      </x:c>
      <x:c r="D973" s="34" t="n">
        <x:v>123</x:v>
      </x:c>
      <x:c r="E973" s="34" t="str">
        <x:v>Warm4m</x:v>
      </x:c>
      <x:c r="F973" s="34" t="n">
        <x:v>601</x:v>
      </x:c>
      <x:c r="G973" s="35" t="n">
        <x:f>IF(C973=0,0,F973/C973*B973)</x:f>
        <x:v>7.440293298172554</x:v>
      </x:c>
    </x:row>
    <x:row r="974">
      <x:c r="A974" s="33" t="str">
        <x:v>Keeper Uprising</x:v>
      </x:c>
      <x:c r="B974" s="34" t="n">
        <x:v>89225</x:v>
      </x:c>
      <x:c r="C974" s="34" t="n">
        <x:v>7207273</x:v>
      </x:c>
      <x:c r="D974" s="34" t="n">
        <x:v>124</x:v>
      </x:c>
      <x:c r="E974" s="34" t="str">
        <x:v>Madruguinha</x:v>
      </x:c>
      <x:c r="F974" s="34" t="n">
        <x:v>588</x:v>
      </x:c>
      <x:c r="G974" s="35" t="n">
        <x:f>IF(C974=0,0,F974/C974*B974)</x:f>
        <x:v>7.279355173586459</x:v>
      </x:c>
    </x:row>
    <x:row r="975">
      <x:c r="A975" s="33" t="str">
        <x:v>Keeper Uprising</x:v>
      </x:c>
      <x:c r="B975" s="34" t="n">
        <x:v>89225</x:v>
      </x:c>
      <x:c r="C975" s="34" t="n">
        <x:v>7207273</x:v>
      </x:c>
      <x:c r="D975" s="34" t="n">
        <x:v>125</x:v>
      </x:c>
      <x:c r="E975" s="34" t="str">
        <x:v>BrunoAnulino</x:v>
      </x:c>
      <x:c r="F975" s="34" t="n">
        <x:v>579</x:v>
      </x:c>
      <x:c r="G975" s="35" t="n">
        <x:f>IF(C975=0,0,F975/C975*B975)</x:f>
        <x:v>7.167936471949932</x:v>
      </x:c>
    </x:row>
    <x:row r="976">
      <x:c r="A976" s="33" t="str">
        <x:v>Keeper Uprising</x:v>
      </x:c>
      <x:c r="B976" s="34" t="n">
        <x:v>89225</x:v>
      </x:c>
      <x:c r="C976" s="34" t="n">
        <x:v>7207273</x:v>
      </x:c>
      <x:c r="D976" s="34" t="n">
        <x:v>126</x:v>
      </x:c>
      <x:c r="E976" s="34" t="str">
        <x:v>MaCiRoSKi</x:v>
      </x:c>
      <x:c r="F976" s="34" t="n">
        <x:v>535</x:v>
      </x:c>
      <x:c r="G976" s="35" t="n">
        <x:f>IF(C976=0,0,F976/C976*B976)</x:f>
        <x:v>6.6232228195046865</x:v>
      </x:c>
    </x:row>
    <x:row r="977">
      <x:c r="A977" s="33" t="str">
        <x:v>Keeper Uprising</x:v>
      </x:c>
      <x:c r="B977" s="34" t="n">
        <x:v>89225</x:v>
      </x:c>
      <x:c r="C977" s="34" t="n">
        <x:v>7207273</x:v>
      </x:c>
      <x:c r="D977" s="34" t="n">
        <x:v>127</x:v>
      </x:c>
      <x:c r="E977" s="34" t="str">
        <x:v>JORJAO</x:v>
      </x:c>
      <x:c r="F977" s="34" t="n">
        <x:v>419</x:v>
      </x:c>
      <x:c r="G977" s="35" t="n">
        <x:f>IF(C977=0,0,F977/C977*B977)</x:f>
        <x:v>5.187159553967222</x:v>
      </x:c>
    </x:row>
    <x:row r="978">
      <x:c r="A978" s="33" t="str">
        <x:v>Keeper Uprising</x:v>
      </x:c>
      <x:c r="B978" s="34" t="n">
        <x:v>89225</x:v>
      </x:c>
      <x:c r="C978" s="34" t="n">
        <x:v>7207273</x:v>
      </x:c>
      <x:c r="D978" s="34" t="n">
        <x:v>128</x:v>
      </x:c>
      <x:c r="E978" s="34" t="str">
        <x:v>zNeii</x:v>
      </x:c>
      <x:c r="F978" s="34" t="n">
        <x:v>390</x:v>
      </x:c>
      <x:c r="G978" s="35" t="n">
        <x:f>IF(C978=0,0,F978/C978*B978)</x:f>
        <x:v>4.828143737582856</x:v>
      </x:c>
    </x:row>
    <x:row r="979">
      <x:c r="A979" s="33" t="str">
        <x:v>Keeper Uprising</x:v>
      </x:c>
      <x:c r="B979" s="34" t="n">
        <x:v>89225</x:v>
      </x:c>
      <x:c r="C979" s="34" t="n">
        <x:v>7207273</x:v>
      </x:c>
      <x:c r="D979" s="34" t="n">
        <x:v>129</x:v>
      </x:c>
      <x:c r="E979" s="34" t="str">
        <x:v>JowManoJow</x:v>
      </x:c>
      <x:c r="F979" s="34" t="n">
        <x:v>387</x:v>
      </x:c>
      <x:c r="G979" s="35" t="n">
        <x:f>IF(C979=0,0,F979/C979*B979)</x:f>
        <x:v>4.79100417037068</x:v>
      </x:c>
    </x:row>
    <x:row r="980">
      <x:c r="A980" s="33" t="str">
        <x:v>Keeper Uprising</x:v>
      </x:c>
      <x:c r="B980" s="34" t="n">
        <x:v>89225</x:v>
      </x:c>
      <x:c r="C980" s="34" t="n">
        <x:v>7207273</x:v>
      </x:c>
      <x:c r="D980" s="34" t="n">
        <x:v>130</x:v>
      </x:c>
      <x:c r="E980" s="34" t="str">
        <x:v>tfmPuniSHEr</x:v>
      </x:c>
      <x:c r="F980" s="34" t="n">
        <x:v>378</x:v>
      </x:c>
      <x:c r="G980" s="35" t="n">
        <x:f>IF(C980=0,0,F980/C980*B980)</x:f>
        <x:v>4.679585468734152</x:v>
      </x:c>
    </x:row>
    <x:row r="981">
      <x:c r="A981" s="33" t="str">
        <x:v>Keeper Uprising</x:v>
      </x:c>
      <x:c r="B981" s="34" t="n">
        <x:v>89225</x:v>
      </x:c>
      <x:c r="C981" s="34" t="n">
        <x:v>7207273</x:v>
      </x:c>
      <x:c r="D981" s="34" t="n">
        <x:v>131</x:v>
      </x:c>
      <x:c r="E981" s="34" t="str">
        <x:v>xXFate</x:v>
      </x:c>
      <x:c r="F981" s="34" t="n">
        <x:v>368</x:v>
      </x:c>
      <x:c r="G981" s="35" t="n">
        <x:f>IF(C981=0,0,F981/C981*B981)</x:f>
        <x:v>4.555786911360233</x:v>
      </x:c>
    </x:row>
    <x:row r="982">
      <x:c r="A982" s="33" t="str">
        <x:v>Keeper Uprising</x:v>
      </x:c>
      <x:c r="B982" s="34" t="n">
        <x:v>89225</x:v>
      </x:c>
      <x:c r="C982" s="34" t="n">
        <x:v>7207273</x:v>
      </x:c>
      <x:c r="D982" s="34" t="n">
        <x:v>132</x:v>
      </x:c>
      <x:c r="E982" s="34" t="str">
        <x:v>Telesss</x:v>
      </x:c>
      <x:c r="F982" s="34" t="n">
        <x:v>366</x:v>
      </x:c>
      <x:c r="G982" s="35" t="n">
        <x:f>IF(C982=0,0,F982/C982*B982)</x:f>
        <x:v>4.531027199885449</x:v>
      </x:c>
    </x:row>
    <x:row r="983">
      <x:c r="A983" s="33" t="str">
        <x:v>Keeper Uprising</x:v>
      </x:c>
      <x:c r="B983" s="34" t="n">
        <x:v>89225</x:v>
      </x:c>
      <x:c r="C983" s="34" t="n">
        <x:v>7207273</x:v>
      </x:c>
      <x:c r="D983" s="34" t="n">
        <x:v>133</x:v>
      </x:c>
      <x:c r="E983" s="34" t="str">
        <x:v>BobBob</x:v>
      </x:c>
      <x:c r="F983" s="34" t="n">
        <x:v>331</x:v>
      </x:c>
      <x:c r="G983" s="35" t="n">
        <x:f>IF(C983=0,0,F983/C983*B983)</x:f>
        <x:v>4.097732249076731</x:v>
      </x:c>
    </x:row>
    <x:row r="984">
      <x:c r="A984" s="33" t="str">
        <x:v>Keeper Uprising</x:v>
      </x:c>
      <x:c r="B984" s="34" t="n">
        <x:v>89225</x:v>
      </x:c>
      <x:c r="C984" s="34" t="n">
        <x:v>7207273</x:v>
      </x:c>
      <x:c r="D984" s="34" t="n">
        <x:v>134</x:v>
      </x:c>
      <x:c r="E984" s="34" t="str">
        <x:v>ZURGUING</x:v>
      </x:c>
      <x:c r="F984" s="34" t="n">
        <x:v>331</x:v>
      </x:c>
      <x:c r="G984" s="35" t="n">
        <x:f>IF(C984=0,0,F984/C984*B984)</x:f>
        <x:v>4.097732249076731</x:v>
      </x:c>
    </x:row>
    <x:row r="985">
      <x:c r="A985" s="33" t="str">
        <x:v>Keeper Uprising</x:v>
      </x:c>
      <x:c r="B985" s="34" t="n">
        <x:v>89225</x:v>
      </x:c>
      <x:c r="C985" s="34" t="n">
        <x:v>7207273</x:v>
      </x:c>
      <x:c r="D985" s="34" t="n">
        <x:v>135</x:v>
      </x:c>
      <x:c r="E985" s="34" t="str">
        <x:v>habibino</x:v>
      </x:c>
      <x:c r="F985" s="34" t="n">
        <x:v>294</x:v>
      </x:c>
      <x:c r="G985" s="35" t="n">
        <x:f>IF(C985=0,0,F985/C985*B985)</x:f>
        <x:v>3.6396775867932294</x:v>
      </x:c>
    </x:row>
    <x:row r="986">
      <x:c r="A986" s="33" t="str">
        <x:v>Keeper Uprising</x:v>
      </x:c>
      <x:c r="B986" s="34" t="n">
        <x:v>89225</x:v>
      </x:c>
      <x:c r="C986" s="34" t="n">
        <x:v>7207273</x:v>
      </x:c>
      <x:c r="D986" s="34" t="n">
        <x:v>136</x:v>
      </x:c>
      <x:c r="E986" s="34" t="str">
        <x:v>BigKaHuNa</x:v>
      </x:c>
      <x:c r="F986" s="34" t="n">
        <x:v>282</x:v>
      </x:c>
      <x:c r="G986" s="35" t="n">
        <x:f>IF(C986=0,0,F986/C986*B986)</x:f>
        <x:v>3.491119317944526</x:v>
      </x:c>
    </x:row>
    <x:row r="987">
      <x:c r="A987" s="33" t="str">
        <x:v>Keeper Uprising</x:v>
      </x:c>
      <x:c r="B987" s="34" t="n">
        <x:v>89225</x:v>
      </x:c>
      <x:c r="C987" s="34" t="n">
        <x:v>7207273</x:v>
      </x:c>
      <x:c r="D987" s="34" t="n">
        <x:v>137</x:v>
      </x:c>
      <x:c r="E987" s="34" t="str">
        <x:v>Zicadas</x:v>
      </x:c>
      <x:c r="F987" s="34" t="n">
        <x:v>279</x:v>
      </x:c>
      <x:c r="G987" s="35" t="n">
        <x:f>IF(C987=0,0,F987/C987*B987)</x:f>
        <x:v>3.4539797507323504</x:v>
      </x:c>
    </x:row>
    <x:row r="988">
      <x:c r="A988" s="33" t="str">
        <x:v>Keeper Uprising</x:v>
      </x:c>
      <x:c r="B988" s="34" t="n">
        <x:v>89225</x:v>
      </x:c>
      <x:c r="C988" s="34" t="n">
        <x:v>7207273</x:v>
      </x:c>
      <x:c r="D988" s="34" t="n">
        <x:v>138</x:v>
      </x:c>
      <x:c r="E988" s="34" t="str">
        <x:v>RobertXVII</x:v>
      </x:c>
      <x:c r="F988" s="34" t="n">
        <x:v>249</x:v>
      </x:c>
      <x:c r="G988" s="35" t="n">
        <x:f>IF(C988=0,0,F988/C988*B988)</x:f>
        <x:v>3.0825840786105925</x:v>
      </x:c>
    </x:row>
    <x:row r="989">
      <x:c r="A989" s="33" t="str">
        <x:v>Keeper Uprising</x:v>
      </x:c>
      <x:c r="B989" s="34" t="n">
        <x:v>89225</x:v>
      </x:c>
      <x:c r="C989" s="34" t="n">
        <x:v>7207273</x:v>
      </x:c>
      <x:c r="D989" s="34" t="n">
        <x:v>139</x:v>
      </x:c>
      <x:c r="E989" s="34" t="str">
        <x:v>leonekilua</x:v>
      </x:c>
      <x:c r="F989" s="34" t="n">
        <x:v>233</x:v>
      </x:c>
      <x:c r="G989" s="35" t="n">
        <x:f>IF(C989=0,0,F989/C989*B989)</x:f>
        <x:v>2.8845063868123213</x:v>
      </x:c>
    </x:row>
    <x:row r="990">
      <x:c r="A990" s="33" t="str">
        <x:v>Keeper Uprising</x:v>
      </x:c>
      <x:c r="B990" s="34" t="n">
        <x:v>89225</x:v>
      </x:c>
      <x:c r="C990" s="34" t="n">
        <x:v>7207273</x:v>
      </x:c>
      <x:c r="D990" s="34" t="n">
        <x:v>140</x:v>
      </x:c>
      <x:c r="E990" s="34" t="str">
        <x:v>HooLisheet</x:v>
      </x:c>
      <x:c r="F990" s="34" t="n">
        <x:v>211</x:v>
      </x:c>
      <x:c r="G990" s="35" t="n">
        <x:f>IF(C990=0,0,F990/C990*B990)</x:f>
        <x:v>2.6121495605896987</x:v>
      </x:c>
    </x:row>
    <x:row r="991">
      <x:c r="A991" s="33" t="str">
        <x:v>Keeper Uprising</x:v>
      </x:c>
      <x:c r="B991" s="34" t="n">
        <x:v>89225</x:v>
      </x:c>
      <x:c r="C991" s="34" t="n">
        <x:v>7207273</x:v>
      </x:c>
      <x:c r="D991" s="34" t="n">
        <x:v>141</x:v>
      </x:c>
      <x:c r="E991" s="34" t="str">
        <x:v>B2r</x:v>
      </x:c>
      <x:c r="F991" s="34" t="n">
        <x:v>204</x:v>
      </x:c>
      <x:c r="G991" s="35" t="n">
        <x:f>IF(C991=0,0,F991/C991*B991)</x:f>
        <x:v>2.525490570427955</x:v>
      </x:c>
    </x:row>
    <x:row r="992">
      <x:c r="A992" s="33" t="str">
        <x:v>Keeper Uprising</x:v>
      </x:c>
      <x:c r="B992" s="34" t="n">
        <x:v>89225</x:v>
      </x:c>
      <x:c r="C992" s="34" t="n">
        <x:v>7207273</x:v>
      </x:c>
      <x:c r="D992" s="34" t="n">
        <x:v>142</x:v>
      </x:c>
      <x:c r="E992" s="34" t="str">
        <x:v>KatarinaSemC</x:v>
      </x:c>
      <x:c r="F992" s="34" t="n">
        <x:v>199</x:v>
      </x:c>
      <x:c r="G992" s="35" t="n">
        <x:f>IF(C992=0,0,F992/C992*B992)</x:f>
        <x:v>2.4635912917409954</x:v>
      </x:c>
    </x:row>
    <x:row r="993">
      <x:c r="A993" s="33" t="str">
        <x:v>Keeper Uprising</x:v>
      </x:c>
      <x:c r="B993" s="34" t="n">
        <x:v>89225</x:v>
      </x:c>
      <x:c r="C993" s="34" t="n">
        <x:v>7207273</x:v>
      </x:c>
      <x:c r="D993" s="34" t="n">
        <x:v>143</x:v>
      </x:c>
      <x:c r="E993" s="34" t="str">
        <x:v>NevesXC</x:v>
      </x:c>
      <x:c r="F993" s="34" t="n">
        <x:v>194</x:v>
      </x:c>
      <x:c r="G993" s="35" t="n">
        <x:f>IF(C993=0,0,F993/C993*B993)</x:f>
        <x:v>2.401692013054036</x:v>
      </x:c>
    </x:row>
    <x:row r="994">
      <x:c r="A994" s="33" t="str">
        <x:v>Keeper Uprising</x:v>
      </x:c>
      <x:c r="B994" s="34" t="n">
        <x:v>89225</x:v>
      </x:c>
      <x:c r="C994" s="34" t="n">
        <x:v>7207273</x:v>
      </x:c>
      <x:c r="D994" s="34" t="n">
        <x:v>144</x:v>
      </x:c>
      <x:c r="E994" s="34" t="str">
        <x:v>executador</x:v>
      </x:c>
      <x:c r="F994" s="34" t="n">
        <x:v>191</x:v>
      </x:c>
      <x:c r="G994" s="35" t="n">
        <x:f>IF(C994=0,0,F994/C994*B994)</x:f>
        <x:v>2.36455244584186</x:v>
      </x:c>
    </x:row>
    <x:row r="995">
      <x:c r="A995" s="33" t="str">
        <x:v>Keeper Uprising</x:v>
      </x:c>
      <x:c r="B995" s="34" t="n">
        <x:v>89225</x:v>
      </x:c>
      <x:c r="C995" s="34" t="n">
        <x:v>7207273</x:v>
      </x:c>
      <x:c r="D995" s="34" t="n">
        <x:v>145</x:v>
      </x:c>
      <x:c r="E995" s="34" t="str">
        <x:v>WillHue</x:v>
      </x:c>
      <x:c r="F995" s="34" t="n">
        <x:v>180</x:v>
      </x:c>
      <x:c r="G995" s="35" t="n">
        <x:f>IF(C995=0,0,F995/C995*B995)</x:f>
        <x:v>2.2283740327305486</x:v>
      </x:c>
    </x:row>
    <x:row r="996">
      <x:c r="A996" s="33" t="str">
        <x:v>Keeper Uprising</x:v>
      </x:c>
      <x:c r="B996" s="34" t="n">
        <x:v>89225</x:v>
      </x:c>
      <x:c r="C996" s="34" t="n">
        <x:v>7207273</x:v>
      </x:c>
      <x:c r="D996" s="34" t="n">
        <x:v>146</x:v>
      </x:c>
      <x:c r="E996" s="34" t="str">
        <x:v>JrMadRyukk</x:v>
      </x:c>
      <x:c r="F996" s="34" t="n">
        <x:v>179</x:v>
      </x:c>
      <x:c r="G996" s="35" t="n">
        <x:f>IF(C996=0,0,F996/C996*B996)</x:f>
        <x:v>2.215994176993157</x:v>
      </x:c>
    </x:row>
    <x:row r="997">
      <x:c r="A997" s="33" t="str">
        <x:v>Keeper Uprising</x:v>
      </x:c>
      <x:c r="B997" s="34" t="n">
        <x:v>89225</x:v>
      </x:c>
      <x:c r="C997" s="34" t="n">
        <x:v>7207273</x:v>
      </x:c>
      <x:c r="D997" s="34" t="n">
        <x:v>147</x:v>
      </x:c>
      <x:c r="E997" s="34" t="str">
        <x:v>gugaboss</x:v>
      </x:c>
      <x:c r="F997" s="34" t="n">
        <x:v>150</x:v>
      </x:c>
      <x:c r="G997" s="35" t="n">
        <x:f>IF(C997=0,0,F997/C997*B997)</x:f>
        <x:v>1.8569783606087906</x:v>
      </x:c>
    </x:row>
    <x:row r="998">
      <x:c r="A998" s="33" t="str">
        <x:v>Keeper Uprising</x:v>
      </x:c>
      <x:c r="B998" s="34" t="n">
        <x:v>89225</x:v>
      </x:c>
      <x:c r="C998" s="34" t="n">
        <x:v>7207273</x:v>
      </x:c>
      <x:c r="D998" s="34" t="n">
        <x:v>148</x:v>
      </x:c>
      <x:c r="E998" s="34" t="str">
        <x:v>Austrix</x:v>
      </x:c>
      <x:c r="F998" s="34" t="n">
        <x:v>150</x:v>
      </x:c>
      <x:c r="G998" s="35" t="n">
        <x:f>IF(C998=0,0,F998/C998*B998)</x:f>
        <x:v>1.8569783606087906</x:v>
      </x:c>
    </x:row>
    <x:row r="999">
      <x:c r="A999" s="33" t="str">
        <x:v>Keeper Uprising</x:v>
      </x:c>
      <x:c r="B999" s="34" t="n">
        <x:v>89225</x:v>
      </x:c>
      <x:c r="C999" s="34" t="n">
        <x:v>7207273</x:v>
      </x:c>
      <x:c r="D999" s="34" t="n">
        <x:v>149</x:v>
      </x:c>
      <x:c r="E999" s="34" t="str">
        <x:v>Lostmothers</x:v>
      </x:c>
      <x:c r="F999" s="34" t="n">
        <x:v>131</x:v>
      </x:c>
      <x:c r="G999" s="35" t="n">
        <x:f>IF(C999=0,0,F999/C999*B999)</x:f>
        <x:v>1.6217611015983437</x:v>
      </x:c>
    </x:row>
    <x:row r="1000">
      <x:c r="A1000" s="33" t="str">
        <x:v>Keeper Uprising</x:v>
      </x:c>
      <x:c r="B1000" s="34" t="n">
        <x:v>89225</x:v>
      </x:c>
      <x:c r="C1000" s="34" t="n">
        <x:v>7207273</x:v>
      </x:c>
      <x:c r="D1000" s="34" t="n">
        <x:v>150</x:v>
      </x:c>
      <x:c r="E1000" s="34" t="str">
        <x:v>RUILEI</x:v>
      </x:c>
      <x:c r="F1000" s="34" t="n">
        <x:v>129</x:v>
      </x:c>
      <x:c r="G1000" s="35" t="n">
        <x:f>IF(C1000=0,0,F1000/C1000*B1000)</x:f>
        <x:v>1.59700139012356</x:v>
      </x:c>
    </x:row>
    <x:row r="1001">
      <x:c r="A1001" s="33" t="str">
        <x:v>Keeper Uprising</x:v>
      </x:c>
      <x:c r="B1001" s="34" t="n">
        <x:v>89225</x:v>
      </x:c>
      <x:c r="C1001" s="34" t="n">
        <x:v>7207273</x:v>
      </x:c>
      <x:c r="D1001" s="34" t="n">
        <x:v>151</x:v>
      </x:c>
      <x:c r="E1001" s="34" t="str">
        <x:v>Margitomen</x:v>
      </x:c>
      <x:c r="F1001" s="34" t="n">
        <x:v>123</x:v>
      </x:c>
      <x:c r="G1001" s="35" t="n">
        <x:f>IF(C1001=0,0,F1001/C1001*B1001)</x:f>
        <x:v>1.5227222556992084</x:v>
      </x:c>
    </x:row>
    <x:row r="1002">
      <x:c r="A1002" s="33" t="str">
        <x:v>Keeper Uprising</x:v>
      </x:c>
      <x:c r="B1002" s="34" t="n">
        <x:v>89225</x:v>
      </x:c>
      <x:c r="C1002" s="34" t="n">
        <x:v>7207273</x:v>
      </x:c>
      <x:c r="D1002" s="34" t="n">
        <x:v>152</x:v>
      </x:c>
      <x:c r="E1002" s="34" t="str">
        <x:v>Lourok</x:v>
      </x:c>
      <x:c r="F1002" s="34" t="n">
        <x:v>110</x:v>
      </x:c>
      <x:c r="G1002" s="35" t="n">
        <x:f>IF(C1002=0,0,F1002/C1002*B1002)</x:f>
        <x:v>1.3617841311131131</x:v>
      </x:c>
    </x:row>
    <x:row r="1003">
      <x:c r="A1003" s="33" t="str">
        <x:v>Keeper Uprising</x:v>
      </x:c>
      <x:c r="B1003" s="34" t="n">
        <x:v>89225</x:v>
      </x:c>
      <x:c r="C1003" s="34" t="n">
        <x:v>7207273</x:v>
      </x:c>
      <x:c r="D1003" s="34" t="n">
        <x:v>153</x:v>
      </x:c>
      <x:c r="E1003" s="34" t="str">
        <x:v>Bigodediarame</x:v>
      </x:c>
      <x:c r="F1003" s="34" t="n">
        <x:v>110</x:v>
      </x:c>
      <x:c r="G1003" s="35" t="n">
        <x:f>IF(C1003=0,0,F1003/C1003*B1003)</x:f>
        <x:v>1.3617841311131131</x:v>
      </x:c>
    </x:row>
    <x:row r="1004">
      <x:c r="A1004" s="33" t="str">
        <x:v>Keeper Uprising</x:v>
      </x:c>
      <x:c r="B1004" s="34" t="n">
        <x:v>89225</x:v>
      </x:c>
      <x:c r="C1004" s="34" t="n">
        <x:v>7207273</x:v>
      </x:c>
      <x:c r="D1004" s="34" t="n">
        <x:v>154</x:v>
      </x:c>
      <x:c r="E1004" s="34" t="str">
        <x:v>Pevida</x:v>
      </x:c>
      <x:c r="F1004" s="34" t="n">
        <x:v>100</x:v>
      </x:c>
      <x:c r="G1004" s="35" t="n">
        <x:f>IF(C1004=0,0,F1004/C1004*B1004)</x:f>
        <x:v>1.2379855737391938</x:v>
      </x:c>
    </x:row>
    <x:row r="1005">
      <x:c r="A1005" s="33" t="str">
        <x:v>Keeper Uprising</x:v>
      </x:c>
      <x:c r="B1005" s="34" t="n">
        <x:v>89225</x:v>
      </x:c>
      <x:c r="C1005" s="34" t="n">
        <x:v>7207273</x:v>
      </x:c>
      <x:c r="D1005" s="34" t="n">
        <x:v>155</x:v>
      </x:c>
      <x:c r="E1005" s="34" t="str">
        <x:v>GlitterGold</x:v>
      </x:c>
      <x:c r="F1005" s="34" t="n">
        <x:v>92</x:v>
      </x:c>
      <x:c r="G1005" s="35" t="n">
        <x:f>IF(C1005=0,0,F1005/C1005*B1005)</x:f>
        <x:v>1.1389467278400582</x:v>
      </x:c>
    </x:row>
    <x:row r="1006">
      <x:c r="A1006" s="33" t="str">
        <x:v>Keeper Uprising</x:v>
      </x:c>
      <x:c r="B1006" s="34" t="n">
        <x:v>89225</x:v>
      </x:c>
      <x:c r="C1006" s="34" t="n">
        <x:v>7207273</x:v>
      </x:c>
      <x:c r="D1006" s="34" t="n">
        <x:v>156</x:v>
      </x:c>
      <x:c r="E1006" s="34" t="str">
        <x:v>Porquitchona</x:v>
      </x:c>
      <x:c r="F1006" s="34" t="n">
        <x:v>90</x:v>
      </x:c>
      <x:c r="G1006" s="35" t="n">
        <x:f>IF(C1006=0,0,F1006/C1006*B1006)</x:f>
        <x:v>1.1141870163652743</x:v>
      </x:c>
    </x:row>
    <x:row r="1007">
      <x:c r="A1007" s="33" t="str">
        <x:v>Keeper Uprising</x:v>
      </x:c>
      <x:c r="B1007" s="34" t="n">
        <x:v>89225</x:v>
      </x:c>
      <x:c r="C1007" s="34" t="n">
        <x:v>7207273</x:v>
      </x:c>
      <x:c r="D1007" s="34" t="n">
        <x:v>157</x:v>
      </x:c>
      <x:c r="E1007" s="34" t="str">
        <x:v>FVZX</x:v>
      </x:c>
      <x:c r="F1007" s="34" t="n">
        <x:v>86</x:v>
      </x:c>
      <x:c r="G1007" s="35" t="n">
        <x:f>IF(C1007=0,0,F1007/C1007*B1007)</x:f>
        <x:v>1.0646675934157066</x:v>
      </x:c>
    </x:row>
    <x:row r="1008">
      <x:c r="A1008" s="33" t="str">
        <x:v>Keeper Uprising</x:v>
      </x:c>
      <x:c r="B1008" s="34" t="n">
        <x:v>89225</x:v>
      </x:c>
      <x:c r="C1008" s="34" t="n">
        <x:v>7207273</x:v>
      </x:c>
      <x:c r="D1008" s="34" t="n">
        <x:v>158</x:v>
      </x:c>
      <x:c r="E1008" s="34" t="str">
        <x:v>ToastT</x:v>
      </x:c>
      <x:c r="F1008" s="34" t="n">
        <x:v>80</x:v>
      </x:c>
      <x:c r="G1008" s="35" t="n">
        <x:f>IF(C1008=0,0,F1008/C1008*B1008)</x:f>
        <x:v>0.990388458991355</x:v>
      </x:c>
    </x:row>
    <x:row r="1009">
      <x:c r="A1009" s="33" t="str">
        <x:v>Keeper Uprising</x:v>
      </x:c>
      <x:c r="B1009" s="34" t="n">
        <x:v>89225</x:v>
      </x:c>
      <x:c r="C1009" s="34" t="n">
        <x:v>7207273</x:v>
      </x:c>
      <x:c r="D1009" s="34" t="n">
        <x:v>159</x:v>
      </x:c>
      <x:c r="E1009" s="34" t="str">
        <x:v>diovolo</x:v>
      </x:c>
      <x:c r="F1009" s="34" t="n">
        <x:v>71</x:v>
      </x:c>
      <x:c r="G1009" s="35" t="n">
        <x:f>IF(C1009=0,0,F1009/C1009*B1009)</x:f>
        <x:v>0.8789697573548275</x:v>
      </x:c>
    </x:row>
    <x:row r="1010">
      <x:c r="A1010" s="33" t="str">
        <x:v>Keeper Uprising</x:v>
      </x:c>
      <x:c r="B1010" s="34" t="n">
        <x:v>89225</x:v>
      </x:c>
      <x:c r="C1010" s="34" t="n">
        <x:v>7207273</x:v>
      </x:c>
      <x:c r="D1010" s="34" t="n">
        <x:v>160</x:v>
      </x:c>
      <x:c r="E1010" s="34" t="str">
        <x:v>Aradzin</x:v>
      </x:c>
      <x:c r="F1010" s="34" t="n">
        <x:v>71</x:v>
      </x:c>
      <x:c r="G1010" s="35" t="n">
        <x:f>IF(C1010=0,0,F1010/C1010*B1010)</x:f>
        <x:v>0.8789697573548275</x:v>
      </x:c>
    </x:row>
    <x:row r="1011">
      <x:c r="A1011" s="33" t="str">
        <x:v>Keeper Uprising</x:v>
      </x:c>
      <x:c r="B1011" s="34" t="n">
        <x:v>89225</x:v>
      </x:c>
      <x:c r="C1011" s="34" t="n">
        <x:v>7207273</x:v>
      </x:c>
      <x:c r="D1011" s="34" t="n">
        <x:v>161</x:v>
      </x:c>
      <x:c r="E1011" s="34" t="str">
        <x:v>gusta23</x:v>
      </x:c>
      <x:c r="F1011" s="34" t="n">
        <x:v>71</x:v>
      </x:c>
      <x:c r="G1011" s="35" t="n">
        <x:f>IF(C1011=0,0,F1011/C1011*B1011)</x:f>
        <x:v>0.8789697573548275</x:v>
      </x:c>
    </x:row>
    <x:row r="1012">
      <x:c r="A1012" s="33" t="str">
        <x:v>Keeper Uprising</x:v>
      </x:c>
      <x:c r="B1012" s="34" t="n">
        <x:v>89225</x:v>
      </x:c>
      <x:c r="C1012" s="34" t="n">
        <x:v>7207273</x:v>
      </x:c>
      <x:c r="D1012" s="34" t="n">
        <x:v>162</x:v>
      </x:c>
      <x:c r="E1012" s="34" t="str">
        <x:v>Miliys</x:v>
      </x:c>
      <x:c r="F1012" s="34" t="n">
        <x:v>66</x:v>
      </x:c>
      <x:c r="G1012" s="35" t="n">
        <x:f>IF(C1012=0,0,F1012/C1012*B1012)</x:f>
        <x:v>0.8170704786678679</x:v>
      </x:c>
    </x:row>
    <x:row r="1013">
      <x:c r="A1013" s="33" t="str">
        <x:v>Keeper Uprising</x:v>
      </x:c>
      <x:c r="B1013" s="34" t="n">
        <x:v>89225</x:v>
      </x:c>
      <x:c r="C1013" s="34" t="n">
        <x:v>7207273</x:v>
      </x:c>
      <x:c r="D1013" s="34" t="n">
        <x:v>163</x:v>
      </x:c>
      <x:c r="E1013" s="34" t="str">
        <x:v>Sonjigolo</x:v>
      </x:c>
      <x:c r="F1013" s="34" t="n">
        <x:v>61</x:v>
      </x:c>
      <x:c r="G1013" s="35" t="n">
        <x:f>IF(C1013=0,0,F1013/C1013*B1013)</x:f>
        <x:v>0.7551711999809081</x:v>
      </x:c>
    </x:row>
    <x:row r="1014">
      <x:c r="A1014" s="33" t="str">
        <x:v>Keeper Uprising</x:v>
      </x:c>
      <x:c r="B1014" s="34" t="n">
        <x:v>89225</x:v>
      </x:c>
      <x:c r="C1014" s="34" t="n">
        <x:v>7207273</x:v>
      </x:c>
      <x:c r="D1014" s="34" t="n">
        <x:v>164</x:v>
      </x:c>
      <x:c r="E1014" s="34" t="str">
        <x:v>RullinSKILL</x:v>
      </x:c>
      <x:c r="F1014" s="34" t="n">
        <x:v>59</x:v>
      </x:c>
      <x:c r="G1014" s="35" t="n">
        <x:f>IF(C1014=0,0,F1014/C1014*B1014)</x:f>
        <x:v>0.7304114885061244</x:v>
      </x:c>
    </x:row>
    <x:row r="1015">
      <x:c r="A1015" s="33" t="str">
        <x:v>Keeper Uprising</x:v>
      </x:c>
      <x:c r="B1015" s="34" t="n">
        <x:v>89225</x:v>
      </x:c>
      <x:c r="C1015" s="34" t="n">
        <x:v>7207273</x:v>
      </x:c>
      <x:c r="D1015" s="34" t="n">
        <x:v>165</x:v>
      </x:c>
      <x:c r="E1015" s="34" t="str">
        <x:v>EBMonarca</x:v>
      </x:c>
      <x:c r="F1015" s="34" t="n">
        <x:v>36</x:v>
      </x:c>
      <x:c r="G1015" s="35" t="n">
        <x:f>IF(C1015=0,0,F1015/C1015*B1015)</x:f>
        <x:v>0.44567480654610975</x:v>
      </x:c>
    </x:row>
    <x:row r="1016">
      <x:c r="A1016" s="33" t="str">
        <x:v>Contrabandistas</x:v>
      </x:c>
      <x:c r="B1016" s="34" t="n">
        <x:v>4216</x:v>
      </x:c>
      <x:c r="C1016" s="34" t="n">
        <x:v>5270049</x:v>
      </x:c>
      <x:c r="D1016" s="34" t="n">
        <x:v>1</x:v>
      </x:c>
      <x:c r="E1016" s="34" t="str">
        <x:v>hardfedles</x:v>
      </x:c>
      <x:c r="F1016" s="34" t="n">
        <x:v>370209</x:v>
      </x:c>
      <x:c r="G1016" s="35" t="n">
        <x:f>IF(C1016=0,0,F1016/C1016*B1016)</x:f>
        <x:v>296.16444628882954</x:v>
      </x:c>
    </x:row>
    <x:row r="1017">
      <x:c r="A1017" s="33" t="str">
        <x:v>Contrabandistas</x:v>
      </x:c>
      <x:c r="B1017" s="34" t="n">
        <x:v>4216</x:v>
      </x:c>
      <x:c r="C1017" s="34" t="n">
        <x:v>5270049</x:v>
      </x:c>
      <x:c r="D1017" s="34" t="n">
        <x:v>2</x:v>
      </x:c>
      <x:c r="E1017" s="34" t="str">
        <x:v>minhafemea1</x:v>
      </x:c>
      <x:c r="F1017" s="34" t="n">
        <x:v>265061</x:v>
      </x:c>
      <x:c r="G1017" s="35" t="n">
        <x:f>IF(C1017=0,0,F1017/C1017*B1017)</x:f>
        <x:v>212.0468284070983</x:v>
      </x:c>
    </x:row>
    <x:row r="1018">
      <x:c r="A1018" s="33" t="str">
        <x:v>Contrabandistas</x:v>
      </x:c>
      <x:c r="B1018" s="34" t="n">
        <x:v>4216</x:v>
      </x:c>
      <x:c r="C1018" s="34" t="n">
        <x:v>5270049</x:v>
      </x:c>
      <x:c r="D1018" s="34" t="n">
        <x:v>3</x:v>
      </x:c>
      <x:c r="E1018" s="34" t="str">
        <x:v>OniGuM000</x:v>
      </x:c>
      <x:c r="F1018" s="34" t="n">
        <x:v>222565</x:v>
      </x:c>
      <x:c r="G1018" s="35" t="n">
        <x:f>IF(C1018=0,0,F1018/C1018*B1018)</x:f>
        <x:v>178.0503445034382</x:v>
      </x:c>
    </x:row>
    <x:row r="1019">
      <x:c r="A1019" s="33" t="str">
        <x:v>Contrabandistas</x:v>
      </x:c>
      <x:c r="B1019" s="34" t="n">
        <x:v>4216</x:v>
      </x:c>
      <x:c r="C1019" s="34" t="n">
        <x:v>5270049</x:v>
      </x:c>
      <x:c r="D1019" s="34" t="n">
        <x:v>4</x:v>
      </x:c>
      <x:c r="E1019" s="34" t="str">
        <x:v>KuNaKiNa</x:v>
      </x:c>
      <x:c r="F1019" s="34" t="n">
        <x:v>203034</x:v>
      </x:c>
      <x:c r="G1019" s="35" t="n">
        <x:f>IF(C1019=0,0,F1019/C1019*B1019)</x:f>
        <x:v>162.425689780114</x:v>
      </x:c>
    </x:row>
    <x:row r="1020">
      <x:c r="A1020" s="33" t="str">
        <x:v>Contrabandistas</x:v>
      </x:c>
      <x:c r="B1020" s="34" t="n">
        <x:v>4216</x:v>
      </x:c>
      <x:c r="C1020" s="34" t="n">
        <x:v>5270049</x:v>
      </x:c>
      <x:c r="D1020" s="34" t="n">
        <x:v>5</x:v>
      </x:c>
      <x:c r="E1020" s="34" t="str">
        <x:v>PlantsTK</x:v>
      </x:c>
      <x:c r="F1020" s="34" t="n">
        <x:v>160826</x:v>
      </x:c>
      <x:c r="G1020" s="35" t="n">
        <x:f>IF(C1020=0,0,F1020/C1020*B1020)</x:f>
        <x:v>128.65960373423474</x:v>
      </x:c>
    </x:row>
    <x:row r="1021">
      <x:c r="A1021" s="33" t="str">
        <x:v>Contrabandistas</x:v>
      </x:c>
      <x:c r="B1021" s="34" t="n">
        <x:v>4216</x:v>
      </x:c>
      <x:c r="C1021" s="34" t="n">
        <x:v>5270049</x:v>
      </x:c>
      <x:c r="D1021" s="34" t="n">
        <x:v>6</x:v>
      </x:c>
      <x:c r="E1021" s="34" t="str">
        <x:v>Tmaiusculo</x:v>
      </x:c>
      <x:c r="F1021" s="34" t="n">
        <x:v>135454</x:v>
      </x:c>
      <x:c r="G1021" s="35" t="n">
        <x:f>IF(C1021=0,0,F1021/C1021*B1021)</x:f>
        <x:v>108.36219245779309</x:v>
      </x:c>
    </x:row>
    <x:row r="1022">
      <x:c r="A1022" s="33" t="str">
        <x:v>Contrabandistas</x:v>
      </x:c>
      <x:c r="B1022" s="34" t="n">
        <x:v>4216</x:v>
      </x:c>
      <x:c r="C1022" s="34" t="n">
        <x:v>5270049</x:v>
      </x:c>
      <x:c r="D1022" s="34" t="n">
        <x:v>7</x:v>
      </x:c>
      <x:c r="E1022" s="34" t="str">
        <x:v>Soldier027</x:v>
      </x:c>
      <x:c r="F1022" s="34" t="n">
        <x:v>127364</x:v>
      </x:c>
      <x:c r="G1022" s="35" t="n">
        <x:f>IF(C1022=0,0,F1022/C1022*B1022)</x:f>
        <x:v>101.89025263332466</x:v>
      </x:c>
    </x:row>
    <x:row r="1023">
      <x:c r="A1023" s="33" t="str">
        <x:v>Contrabandistas</x:v>
      </x:c>
      <x:c r="B1023" s="34" t="n">
        <x:v>4216</x:v>
      </x:c>
      <x:c r="C1023" s="34" t="n">
        <x:v>5270049</x:v>
      </x:c>
      <x:c r="D1023" s="34" t="n">
        <x:v>8</x:v>
      </x:c>
      <x:c r="E1023" s="34" t="str">
        <x:v>Jmbv</x:v>
      </x:c>
      <x:c r="F1023" s="34" t="n">
        <x:v>124635</x:v>
      </x:c>
      <x:c r="G1023" s="35" t="n">
        <x:f>IF(C1023=0,0,F1023/C1023*B1023)</x:f>
        <x:v>99.70707293233895</x:v>
      </x:c>
    </x:row>
    <x:row r="1024">
      <x:c r="A1024" s="33" t="str">
        <x:v>Contrabandistas</x:v>
      </x:c>
      <x:c r="B1024" s="34" t="n">
        <x:v>4216</x:v>
      </x:c>
      <x:c r="C1024" s="34" t="n">
        <x:v>5270049</x:v>
      </x:c>
      <x:c r="D1024" s="34" t="n">
        <x:v>9</x:v>
      </x:c>
      <x:c r="E1024" s="34" t="str">
        <x:v>BBob</x:v>
      </x:c>
      <x:c r="F1024" s="34" t="n">
        <x:v>111131</x:v>
      </x:c>
      <x:c r="G1024" s="35" t="n">
        <x:f>IF(C1024=0,0,F1024/C1024*B1024)</x:f>
        <x:v>88.90397337861565</x:v>
      </x:c>
    </x:row>
    <x:row r="1025">
      <x:c r="A1025" s="33" t="str">
        <x:v>Contrabandistas</x:v>
      </x:c>
      <x:c r="B1025" s="34" t="n">
        <x:v>4216</x:v>
      </x:c>
      <x:c r="C1025" s="34" t="n">
        <x:v>5270049</x:v>
      </x:c>
      <x:c r="D1025" s="34" t="n">
        <x:v>10</x:v>
      </x:c>
      <x:c r="E1025" s="34" t="str">
        <x:v>BSAIGunner</x:v>
      </x:c>
      <x:c r="F1025" s="34" t="n">
        <x:v>110052</x:v>
      </x:c>
      <x:c r="G1025" s="35" t="n">
        <x:f>IF(C1025=0,0,F1025/C1025*B1025)</x:f>
        <x:v>88.04078140449928</x:v>
      </x:c>
    </x:row>
    <x:row r="1026">
      <x:c r="A1026" s="33" t="str">
        <x:v>Contrabandistas</x:v>
      </x:c>
      <x:c r="B1026" s="34" t="n">
        <x:v>4216</x:v>
      </x:c>
      <x:c r="C1026" s="34" t="n">
        <x:v>5270049</x:v>
      </x:c>
      <x:c r="D1026" s="34" t="n">
        <x:v>11</x:v>
      </x:c>
      <x:c r="E1026" s="34" t="str">
        <x:v>jokker1998</x:v>
      </x:c>
      <x:c r="F1026" s="34" t="n">
        <x:v>109951</x:v>
      </x:c>
      <x:c r="G1026" s="35" t="n">
        <x:f>IF(C1026=0,0,F1026/C1026*B1026)</x:f>
        <x:v>87.95998215576363</x:v>
      </x:c>
    </x:row>
    <x:row r="1027">
      <x:c r="A1027" s="33" t="str">
        <x:v>Contrabandistas</x:v>
      </x:c>
      <x:c r="B1027" s="34" t="n">
        <x:v>4216</x:v>
      </x:c>
      <x:c r="C1027" s="34" t="n">
        <x:v>5270049</x:v>
      </x:c>
      <x:c r="D1027" s="34" t="n">
        <x:v>12</x:v>
      </x:c>
      <x:c r="E1027" s="34" t="str">
        <x:v>MatMac</x:v>
      </x:c>
      <x:c r="F1027" s="34" t="n">
        <x:v>108979</x:v>
      </x:c>
      <x:c r="G1027" s="35" t="n">
        <x:f>IF(C1027=0,0,F1027/C1027*B1027)</x:f>
        <x:v>87.18238938575334</x:v>
      </x:c>
    </x:row>
    <x:row r="1028">
      <x:c r="A1028" s="33" t="str">
        <x:v>Contrabandistas</x:v>
      </x:c>
      <x:c r="B1028" s="34" t="n">
        <x:v>4216</x:v>
      </x:c>
      <x:c r="C1028" s="34" t="n">
        <x:v>5270049</x:v>
      </x:c>
      <x:c r="D1028" s="34" t="n">
        <x:v>13</x:v>
      </x:c>
      <x:c r="E1028" s="34" t="str">
        <x:v>Temperamental</x:v>
      </x:c>
      <x:c r="F1028" s="34" t="n">
        <x:v>97662</x:v>
      </x:c>
      <x:c r="G1028" s="35" t="n">
        <x:f>IF(C1028=0,0,F1028/C1028*B1028)</x:f>
        <x:v>78.12887356455319</x:v>
      </x:c>
    </x:row>
    <x:row r="1029">
      <x:c r="A1029" s="33" t="str">
        <x:v>Contrabandistas</x:v>
      </x:c>
      <x:c r="B1029" s="34" t="n">
        <x:v>4216</x:v>
      </x:c>
      <x:c r="C1029" s="34" t="n">
        <x:v>5270049</x:v>
      </x:c>
      <x:c r="D1029" s="34" t="n">
        <x:v>14</x:v>
      </x:c>
      <x:c r="E1029" s="34" t="str">
        <x:v>LORDJAPAA</x:v>
      </x:c>
      <x:c r="F1029" s="34" t="n">
        <x:v>95989</x:v>
      </x:c>
      <x:c r="G1029" s="35" t="n">
        <x:f>IF(C1029=0,0,F1029/C1029*B1029)</x:f>
        <x:v>76.79048600876386</x:v>
      </x:c>
    </x:row>
    <x:row r="1030">
      <x:c r="A1030" s="33" t="str">
        <x:v>Contrabandistas</x:v>
      </x:c>
      <x:c r="B1030" s="34" t="n">
        <x:v>4216</x:v>
      </x:c>
      <x:c r="C1030" s="34" t="n">
        <x:v>5270049</x:v>
      </x:c>
      <x:c r="D1030" s="34" t="n">
        <x:v>15</x:v>
      </x:c>
      <x:c r="E1030" s="34" t="str">
        <x:v>Dorfiuses</x:v>
      </x:c>
      <x:c r="F1030" s="34" t="n">
        <x:v>95801</x:v>
      </x:c>
      <x:c r="G1030" s="35" t="n">
        <x:f>IF(C1030=0,0,F1030/C1030*B1030)</x:f>
        <x:v>76.64008740715694</x:v>
      </x:c>
    </x:row>
    <x:row r="1031">
      <x:c r="A1031" s="33" t="str">
        <x:v>Contrabandistas</x:v>
      </x:c>
      <x:c r="B1031" s="34" t="n">
        <x:v>4216</x:v>
      </x:c>
      <x:c r="C1031" s="34" t="n">
        <x:v>5270049</x:v>
      </x:c>
      <x:c r="D1031" s="34" t="n">
        <x:v>16</x:v>
      </x:c>
      <x:c r="E1031" s="34" t="str">
        <x:v>dsn</x:v>
      </x:c>
      <x:c r="F1031" s="34" t="n">
        <x:v>88397</x:v>
      </x:c>
      <x:c r="G1031" s="35" t="n">
        <x:f>IF(C1031=0,0,F1031/C1031*B1031)</x:f>
        <x:v>70.71694248004145</x:v>
      </x:c>
    </x:row>
    <x:row r="1032">
      <x:c r="A1032" s="33" t="str">
        <x:v>Contrabandistas</x:v>
      </x:c>
      <x:c r="B1032" s="34" t="n">
        <x:v>4216</x:v>
      </x:c>
      <x:c r="C1032" s="34" t="n">
        <x:v>5270049</x:v>
      </x:c>
      <x:c r="D1032" s="34" t="n">
        <x:v>17</x:v>
      </x:c>
      <x:c r="E1032" s="34" t="str">
        <x:v>3YS4N</x:v>
      </x:c>
      <x:c r="F1032" s="34" t="n">
        <x:v>88316</x:v>
      </x:c>
      <x:c r="G1032" s="35" t="n">
        <x:f>IF(C1032=0,0,F1032/C1032*B1032)</x:f>
        <x:v>70.65214308254059</x:v>
      </x:c>
    </x:row>
    <x:row r="1033">
      <x:c r="A1033" s="33" t="str">
        <x:v>Contrabandistas</x:v>
      </x:c>
      <x:c r="B1033" s="34" t="n">
        <x:v>4216</x:v>
      </x:c>
      <x:c r="C1033" s="34" t="n">
        <x:v>5270049</x:v>
      </x:c>
      <x:c r="D1033" s="34" t="n">
        <x:v>18</x:v>
      </x:c>
      <x:c r="E1033" s="34" t="str">
        <x:v>SerpentVeil</x:v>
      </x:c>
      <x:c r="F1033" s="34" t="n">
        <x:v>84978</x:v>
      </x:c>
      <x:c r="G1033" s="35" t="n">
        <x:f>IF(C1033=0,0,F1033/C1033*B1033)</x:f>
        <x:v>67.98176791145585</x:v>
      </x:c>
    </x:row>
    <x:row r="1034">
      <x:c r="A1034" s="33" t="str">
        <x:v>Contrabandistas</x:v>
      </x:c>
      <x:c r="B1034" s="34" t="n">
        <x:v>4216</x:v>
      </x:c>
      <x:c r="C1034" s="34" t="n">
        <x:v>5270049</x:v>
      </x:c>
      <x:c r="D1034" s="34" t="n">
        <x:v>19</x:v>
      </x:c>
      <x:c r="E1034" s="34" t="str">
        <x:v>LEOPOLD</x:v>
      </x:c>
      <x:c r="F1034" s="34" t="n">
        <x:v>81679</x:v>
      </x:c>
      <x:c r="G1034" s="35" t="n">
        <x:f>IF(C1034=0,0,F1034/C1034*B1034)</x:f>
        <x:v>65.34259245027893</x:v>
      </x:c>
    </x:row>
    <x:row r="1035">
      <x:c r="A1035" s="33" t="str">
        <x:v>Contrabandistas</x:v>
      </x:c>
      <x:c r="B1035" s="34" t="n">
        <x:v>4216</x:v>
      </x:c>
      <x:c r="C1035" s="34" t="n">
        <x:v>5270049</x:v>
      </x:c>
      <x:c r="D1035" s="34" t="n">
        <x:v>20</x:v>
      </x:c>
      <x:c r="E1035" s="34" t="str">
        <x:v>TKZX</x:v>
      </x:c>
      <x:c r="F1035" s="34" t="n">
        <x:v>81667</x:v>
      </x:c>
      <x:c r="G1035" s="35" t="n">
        <x:f>IF(C1035=0,0,F1035/C1035*B1035)</x:f>
        <x:v>65.33299253953805</x:v>
      </x:c>
    </x:row>
    <x:row r="1036">
      <x:c r="A1036" s="33" t="str">
        <x:v>Contrabandistas</x:v>
      </x:c>
      <x:c r="B1036" s="34" t="n">
        <x:v>4216</x:v>
      </x:c>
      <x:c r="C1036" s="34" t="n">
        <x:v>5270049</x:v>
      </x:c>
      <x:c r="D1036" s="34" t="n">
        <x:v>21</x:v>
      </x:c>
      <x:c r="E1036" s="34" t="str">
        <x:v>Grockyy</x:v>
      </x:c>
      <x:c r="F1036" s="34" t="n">
        <x:v>80223</x:v>
      </x:c>
      <x:c r="G1036" s="35" t="n">
        <x:f>IF(C1036=0,0,F1036/C1036*B1036)</x:f>
        <x:v>64.17780328038695</x:v>
      </x:c>
    </x:row>
    <x:row r="1037">
      <x:c r="A1037" s="33" t="str">
        <x:v>Contrabandistas</x:v>
      </x:c>
      <x:c r="B1037" s="34" t="n">
        <x:v>4216</x:v>
      </x:c>
      <x:c r="C1037" s="34" t="n">
        <x:v>5270049</x:v>
      </x:c>
      <x:c r="D1037" s="34" t="n">
        <x:v>22</x:v>
      </x:c>
      <x:c r="E1037" s="34" t="str">
        <x:v>imdonedontkillme</x:v>
      </x:c>
      <x:c r="F1037" s="34" t="n">
        <x:v>76418</x:v>
      </x:c>
      <x:c r="G1037" s="35" t="n">
        <x:f>IF(C1037=0,0,F1037/C1037*B1037)</x:f>
        <x:v>61.1338315829701</x:v>
      </x:c>
    </x:row>
    <x:row r="1038">
      <x:c r="A1038" s="33" t="str">
        <x:v>Contrabandistas</x:v>
      </x:c>
      <x:c r="B1038" s="34" t="n">
        <x:v>4216</x:v>
      </x:c>
      <x:c r="C1038" s="34" t="n">
        <x:v>5270049</x:v>
      </x:c>
      <x:c r="D1038" s="34" t="n">
        <x:v>23</x:v>
      </x:c>
      <x:c r="E1038" s="34" t="str">
        <x:v>Lamusk</x:v>
      </x:c>
      <x:c r="F1038" s="34" t="n">
        <x:v>73371</x:v>
      </x:c>
      <x:c r="G1038" s="35" t="n">
        <x:f>IF(C1038=0,0,F1038/C1038*B1038)</x:f>
        <x:v>58.6962542473514</x:v>
      </x:c>
    </x:row>
    <x:row r="1039">
      <x:c r="A1039" s="33" t="str">
        <x:v>Contrabandistas</x:v>
      </x:c>
      <x:c r="B1039" s="34" t="n">
        <x:v>4216</x:v>
      </x:c>
      <x:c r="C1039" s="34" t="n">
        <x:v>5270049</x:v>
      </x:c>
      <x:c r="D1039" s="34" t="n">
        <x:v>24</x:v>
      </x:c>
      <x:c r="E1039" s="34" t="str">
        <x:v>Jairrodrigo</x:v>
      </x:c>
      <x:c r="F1039" s="34" t="n">
        <x:v>73063</x:v>
      </x:c>
      <x:c r="G1039" s="35" t="n">
        <x:f>IF(C1039=0,0,F1039/C1039*B1039)</x:f>
        <x:v>58.449856538335794</x:v>
      </x:c>
    </x:row>
    <x:row r="1040">
      <x:c r="A1040" s="33" t="str">
        <x:v>Contrabandistas</x:v>
      </x:c>
      <x:c r="B1040" s="34" t="n">
        <x:v>4216</x:v>
      </x:c>
      <x:c r="C1040" s="34" t="n">
        <x:v>5270049</x:v>
      </x:c>
      <x:c r="D1040" s="34" t="n">
        <x:v>25</x:v>
      </x:c>
      <x:c r="E1040" s="34" t="str">
        <x:v>Akuma1000</x:v>
      </x:c>
      <x:c r="F1040" s="34" t="n">
        <x:v>72692</x:v>
      </x:c>
      <x:c r="G1040" s="35" t="n">
        <x:f>IF(C1040=0,0,F1040/C1040*B1040)</x:f>
        <x:v>58.15305929793063</x:v>
      </x:c>
    </x:row>
    <x:row r="1041">
      <x:c r="A1041" s="33" t="str">
        <x:v>Contrabandistas</x:v>
      </x:c>
      <x:c r="B1041" s="34" t="n">
        <x:v>4216</x:v>
      </x:c>
      <x:c r="C1041" s="34" t="n">
        <x:v>5270049</x:v>
      </x:c>
      <x:c r="D1041" s="34" t="n">
        <x:v>26</x:v>
      </x:c>
      <x:c r="E1041" s="34" t="str">
        <x:v>Hi6or</x:v>
      </x:c>
      <x:c r="F1041" s="34" t="n">
        <x:v>68255</x:v>
      </x:c>
      <x:c r="G1041" s="35" t="n">
        <x:f>IF(C1041=0,0,F1041/C1041*B1041)</x:f>
        <x:v>54.60349230149473</x:v>
      </x:c>
    </x:row>
    <x:row r="1042">
      <x:c r="A1042" s="33" t="str">
        <x:v>Contrabandistas</x:v>
      </x:c>
      <x:c r="B1042" s="34" t="n">
        <x:v>4216</x:v>
      </x:c>
      <x:c r="C1042" s="34" t="n">
        <x:v>5270049</x:v>
      </x:c>
      <x:c r="D1042" s="34" t="n">
        <x:v>27</x:v>
      </x:c>
      <x:c r="E1042" s="34" t="str">
        <x:v>A2ar</x:v>
      </x:c>
      <x:c r="F1042" s="34" t="n">
        <x:v>66753</x:v>
      </x:c>
      <x:c r="G1042" s="35" t="n">
        <x:f>IF(C1042=0,0,F1042/C1042*B1042)</x:f>
        <x:v>53.40190347376277</x:v>
      </x:c>
    </x:row>
    <x:row r="1043">
      <x:c r="A1043" s="33" t="str">
        <x:v>Contrabandistas</x:v>
      </x:c>
      <x:c r="B1043" s="34" t="n">
        <x:v>4216</x:v>
      </x:c>
      <x:c r="C1043" s="34" t="n">
        <x:v>5270049</x:v>
      </x:c>
      <x:c r="D1043" s="34" t="n">
        <x:v>28</x:v>
      </x:c>
      <x:c r="E1043" s="34" t="str">
        <x:v>Euhh</x:v>
      </x:c>
      <x:c r="F1043" s="34" t="n">
        <x:v>65465</x:v>
      </x:c>
      <x:c r="G1043" s="35" t="n">
        <x:f>IF(C1043=0,0,F1043/C1043*B1043)</x:f>
        <x:v>52.371513054242946</x:v>
      </x:c>
    </x:row>
    <x:row r="1044">
      <x:c r="A1044" s="33" t="str">
        <x:v>Contrabandistas</x:v>
      </x:c>
      <x:c r="B1044" s="34" t="n">
        <x:v>4216</x:v>
      </x:c>
      <x:c r="C1044" s="34" t="n">
        <x:v>5270049</x:v>
      </x:c>
      <x:c r="D1044" s="34" t="n">
        <x:v>29</x:v>
      </x:c>
      <x:c r="E1044" s="34" t="str">
        <x:v>Jabiroca1</x:v>
      </x:c>
      <x:c r="F1044" s="34" t="n">
        <x:v>64024</x:v>
      </x:c>
      <x:c r="G1044" s="35" t="n">
        <x:f>IF(C1044=0,0,F1044/C1044*B1044)</x:f>
        <x:v>51.21872377277707</x:v>
      </x:c>
    </x:row>
    <x:row r="1045">
      <x:c r="A1045" s="33" t="str">
        <x:v>Contrabandistas</x:v>
      </x:c>
      <x:c r="B1045" s="34" t="n">
        <x:v>4216</x:v>
      </x:c>
      <x:c r="C1045" s="34" t="n">
        <x:v>5270049</x:v>
      </x:c>
      <x:c r="D1045" s="34" t="n">
        <x:v>30</x:v>
      </x:c>
      <x:c r="E1045" s="34" t="str">
        <x:v>VnfaTI</x:v>
      </x:c>
      <x:c r="F1045" s="34" t="n">
        <x:v>62978</x:v>
      </x:c>
      <x:c r="G1045" s="35" t="n">
        <x:f>IF(C1045=0,0,F1045/C1045*B1045)</x:f>
        <x:v>50.381931553198086</x:v>
      </x:c>
    </x:row>
    <x:row r="1046">
      <x:c r="A1046" s="33" t="str">
        <x:v>Contrabandistas</x:v>
      </x:c>
      <x:c r="B1046" s="34" t="n">
        <x:v>4216</x:v>
      </x:c>
      <x:c r="C1046" s="34" t="n">
        <x:v>5270049</x:v>
      </x:c>
      <x:c r="D1046" s="34" t="n">
        <x:v>31</x:v>
      </x:c>
      <x:c r="E1046" s="34" t="str">
        <x:v>theYousek</x:v>
      </x:c>
      <x:c r="F1046" s="34" t="n">
        <x:v>60109</x:v>
      </x:c>
      <x:c r="G1046" s="35" t="n">
        <x:f>IF(C1046=0,0,F1046/C1046*B1046)</x:f>
        <x:v>48.08675289356892</x:v>
      </x:c>
    </x:row>
    <x:row r="1047">
      <x:c r="A1047" s="33" t="str">
        <x:v>Contrabandistas</x:v>
      </x:c>
      <x:c r="B1047" s="34" t="n">
        <x:v>4216</x:v>
      </x:c>
      <x:c r="C1047" s="34" t="n">
        <x:v>5270049</x:v>
      </x:c>
      <x:c r="D1047" s="34" t="n">
        <x:v>32</x:v>
      </x:c>
      <x:c r="E1047" s="34" t="str">
        <x:v>Amakv</x:v>
      </x:c>
      <x:c r="F1047" s="34" t="n">
        <x:v>58680</x:v>
      </x:c>
      <x:c r="G1047" s="35" t="n">
        <x:f>IF(C1047=0,0,F1047/C1047*B1047)</x:f>
        <x:v>46.9435635228439</x:v>
      </x:c>
    </x:row>
    <x:row r="1048">
      <x:c r="A1048" s="33" t="str">
        <x:v>Contrabandistas</x:v>
      </x:c>
      <x:c r="B1048" s="34" t="n">
        <x:v>4216</x:v>
      </x:c>
      <x:c r="C1048" s="34" t="n">
        <x:v>5270049</x:v>
      </x:c>
      <x:c r="D1048" s="34" t="n">
        <x:v>33</x:v>
      </x:c>
      <x:c r="E1048" s="34" t="str">
        <x:v>MaxHardcore</x:v>
      </x:c>
      <x:c r="F1048" s="34" t="n">
        <x:v>57019</x:v>
      </x:c>
      <x:c r="G1048" s="35" t="n">
        <x:f>IF(C1048=0,0,F1048/C1048*B1048)</x:f>
        <x:v>45.61477587779544</x:v>
      </x:c>
    </x:row>
    <x:row r="1049">
      <x:c r="A1049" s="33" t="str">
        <x:v>Contrabandistas</x:v>
      </x:c>
      <x:c r="B1049" s="34" t="n">
        <x:v>4216</x:v>
      </x:c>
      <x:c r="C1049" s="34" t="n">
        <x:v>5270049</x:v>
      </x:c>
      <x:c r="D1049" s="34" t="n">
        <x:v>34</x:v>
      </x:c>
      <x:c r="E1049" s="34" t="str">
        <x:v>Patolas</x:v>
      </x:c>
      <x:c r="F1049" s="34" t="n">
        <x:v>52424</x:v>
      </x:c>
      <x:c r="G1049" s="35" t="n">
        <x:f>IF(C1049=0,0,F1049/C1049*B1049)</x:f>
        <x:v>41.93881005660479</x:v>
      </x:c>
    </x:row>
    <x:row r="1050">
      <x:c r="A1050" s="33" t="str">
        <x:v>Contrabandistas</x:v>
      </x:c>
      <x:c r="B1050" s="34" t="n">
        <x:v>4216</x:v>
      </x:c>
      <x:c r="C1050" s="34" t="n">
        <x:v>5270049</x:v>
      </x:c>
      <x:c r="D1050" s="34" t="n">
        <x:v>35</x:v>
      </x:c>
      <x:c r="E1050" s="34" t="str">
        <x:v>Yuangii</x:v>
      </x:c>
      <x:c r="F1050" s="34" t="n">
        <x:v>47843</x:v>
      </x:c>
      <x:c r="G1050" s="35" t="n">
        <x:f>IF(C1050=0,0,F1050/C1050*B1050)</x:f>
        <x:v>38.27404413127847</x:v>
      </x:c>
    </x:row>
    <x:row r="1051">
      <x:c r="A1051" s="33" t="str">
        <x:v>Contrabandistas</x:v>
      </x:c>
      <x:c r="B1051" s="34" t="n">
        <x:v>4216</x:v>
      </x:c>
      <x:c r="C1051" s="34" t="n">
        <x:v>5270049</x:v>
      </x:c>
      <x:c r="D1051" s="34" t="n">
        <x:v>36</x:v>
      </x:c>
      <x:c r="E1051" s="34" t="str">
        <x:v>LipeFuab</x:v>
      </x:c>
      <x:c r="F1051" s="34" t="n">
        <x:v>47025</x:v>
      </x:c>
      <x:c r="G1051" s="35" t="n">
        <x:f>IF(C1051=0,0,F1051/C1051*B1051)</x:f>
        <x:v>37.61965021577598</x:v>
      </x:c>
    </x:row>
    <x:row r="1052">
      <x:c r="A1052" s="33" t="str">
        <x:v>Contrabandistas</x:v>
      </x:c>
      <x:c r="B1052" s="34" t="n">
        <x:v>4216</x:v>
      </x:c>
      <x:c r="C1052" s="34" t="n">
        <x:v>5270049</x:v>
      </x:c>
      <x:c r="D1052" s="34" t="n">
        <x:v>37</x:v>
      </x:c>
      <x:c r="E1052" s="34" t="str">
        <x:v>Djwd</x:v>
      </x:c>
      <x:c r="F1052" s="34" t="n">
        <x:v>44619</x:v>
      </x:c>
      <x:c r="G1052" s="35" t="n">
        <x:f>IF(C1052=0,0,F1052/C1052*B1052)</x:f>
        <x:v>35.69486811223197</x:v>
      </x:c>
    </x:row>
    <x:row r="1053">
      <x:c r="A1053" s="33" t="str">
        <x:v>Contrabandistas</x:v>
      </x:c>
      <x:c r="B1053" s="34" t="n">
        <x:v>4216</x:v>
      </x:c>
      <x:c r="C1053" s="34" t="n">
        <x:v>5270049</x:v>
      </x:c>
      <x:c r="D1053" s="34" t="n">
        <x:v>38</x:v>
      </x:c>
      <x:c r="E1053" s="34" t="str">
        <x:v>MineMim</x:v>
      </x:c>
      <x:c r="F1053" s="34" t="n">
        <x:v>42827</x:v>
      </x:c>
      <x:c r="G1053" s="35" t="n">
        <x:f>IF(C1053=0,0,F1053/C1053*B1053)</x:f>
        <x:v>34.2612814415957</x:v>
      </x:c>
    </x:row>
    <x:row r="1054">
      <x:c r="A1054" s="33" t="str">
        <x:v>Contrabandistas</x:v>
      </x:c>
      <x:c r="B1054" s="34" t="n">
        <x:v>4216</x:v>
      </x:c>
      <x:c r="C1054" s="34" t="n">
        <x:v>5270049</x:v>
      </x:c>
      <x:c r="D1054" s="34" t="n">
        <x:v>39</x:v>
      </x:c>
      <x:c r="E1054" s="34" t="str">
        <x:v>BrEnnD</x:v>
      </x:c>
      <x:c r="F1054" s="34" t="n">
        <x:v>42384</x:v>
      </x:c>
      <x:c r="G1054" s="35" t="n">
        <x:f>IF(C1054=0,0,F1054/C1054*B1054)</x:f>
        <x:v>33.90688473674533</x:v>
      </x:c>
    </x:row>
    <x:row r="1055">
      <x:c r="A1055" s="33" t="str">
        <x:v>Contrabandistas</x:v>
      </x:c>
      <x:c r="B1055" s="34" t="n">
        <x:v>4216</x:v>
      </x:c>
      <x:c r="C1055" s="34" t="n">
        <x:v>5270049</x:v>
      </x:c>
      <x:c r="D1055" s="34" t="n">
        <x:v>40</x:v>
      </x:c>
      <x:c r="E1055" s="34" t="str">
        <x:v>jordansPt</x:v>
      </x:c>
      <x:c r="F1055" s="34" t="n">
        <x:v>41303</x:v>
      </x:c>
      <x:c r="G1055" s="35" t="n">
        <x:f>IF(C1055=0,0,F1055/C1055*B1055)</x:f>
        <x:v>33.04209277750549</x:v>
      </x:c>
    </x:row>
    <x:row r="1056">
      <x:c r="A1056" s="33" t="str">
        <x:v>Contrabandistas</x:v>
      </x:c>
      <x:c r="B1056" s="34" t="n">
        <x:v>4216</x:v>
      </x:c>
      <x:c r="C1056" s="34" t="n">
        <x:v>5270049</x:v>
      </x:c>
      <x:c r="D1056" s="34" t="n">
        <x:v>41</x:v>
      </x:c>
      <x:c r="E1056" s="34" t="str">
        <x:v>lordkiller01</x:v>
      </x:c>
      <x:c r="F1056" s="34" t="n">
        <x:v>40630</x:v>
      </x:c>
      <x:c r="G1056" s="35" t="n">
        <x:f>IF(C1056=0,0,F1056/C1056*B1056)</x:f>
        <x:v>32.503697783455145</x:v>
      </x:c>
    </x:row>
    <x:row r="1057">
      <x:c r="A1057" s="33" t="str">
        <x:v>Contrabandistas</x:v>
      </x:c>
      <x:c r="B1057" s="34" t="n">
        <x:v>4216</x:v>
      </x:c>
      <x:c r="C1057" s="34" t="n">
        <x:v>5270049</x:v>
      </x:c>
      <x:c r="D1057" s="34" t="n">
        <x:v>42</x:v>
      </x:c>
      <x:c r="E1057" s="34" t="str">
        <x:v>Madruguinha</x:v>
      </x:c>
      <x:c r="F1057" s="34" t="n">
        <x:v>40179</x:v>
      </x:c>
      <x:c r="G1057" s="35" t="n">
        <x:f>IF(C1057=0,0,F1057/C1057*B1057)</x:f>
        <x:v>32.14290113811086</x:v>
      </x:c>
    </x:row>
    <x:row r="1058">
      <x:c r="A1058" s="33" t="str">
        <x:v>Contrabandistas</x:v>
      </x:c>
      <x:c r="B1058" s="34" t="n">
        <x:v>4216</x:v>
      </x:c>
      <x:c r="C1058" s="34" t="n">
        <x:v>5270049</x:v>
      </x:c>
      <x:c r="D1058" s="34" t="n">
        <x:v>43</x:v>
      </x:c>
      <x:c r="E1058" s="34" t="str">
        <x:v>Sabedoria7</x:v>
      </x:c>
      <x:c r="F1058" s="34" t="n">
        <x:v>35684</x:v>
      </x:c>
      <x:c r="G1058" s="35" t="n">
        <x:f>IF(C1058=0,0,F1058/C1058*B1058)</x:f>
        <x:v>28.546934573094102</x:v>
      </x:c>
    </x:row>
    <x:row r="1059">
      <x:c r="A1059" s="33" t="str">
        <x:v>Contrabandistas</x:v>
      </x:c>
      <x:c r="B1059" s="34" t="n">
        <x:v>4216</x:v>
      </x:c>
      <x:c r="C1059" s="34" t="n">
        <x:v>5270049</x:v>
      </x:c>
      <x:c r="D1059" s="34" t="n">
        <x:v>44</x:v>
      </x:c>
      <x:c r="E1059" s="34" t="str">
        <x:v>jarjarjeanbon</x:v>
      </x:c>
      <x:c r="F1059" s="34" t="n">
        <x:v>34645</x:v>
      </x:c>
      <x:c r="G1059" s="35" t="n">
        <x:f>IF(C1059=0,0,F1059/C1059*B1059)</x:f>
        <x:v>27.715742301447293</x:v>
      </x:c>
    </x:row>
    <x:row r="1060">
      <x:c r="A1060" s="33" t="str">
        <x:v>Contrabandistas</x:v>
      </x:c>
      <x:c r="B1060" s="34" t="n">
        <x:v>4216</x:v>
      </x:c>
      <x:c r="C1060" s="34" t="n">
        <x:v>5270049</x:v>
      </x:c>
      <x:c r="D1060" s="34" t="n">
        <x:v>45</x:v>
      </x:c>
      <x:c r="E1060" s="34" t="str">
        <x:v>MissyPT</x:v>
      </x:c>
      <x:c r="F1060" s="34" t="n">
        <x:v>34256</x:v>
      </x:c>
      <x:c r="G1060" s="35" t="n">
        <x:f>IF(C1060=0,0,F1060/C1060*B1060)</x:f>
        <x:v>27.404545194930822</x:v>
      </x:c>
    </x:row>
    <x:row r="1061">
      <x:c r="A1061" s="33" t="str">
        <x:v>Contrabandistas</x:v>
      </x:c>
      <x:c r="B1061" s="34" t="n">
        <x:v>4216</x:v>
      </x:c>
      <x:c r="C1061" s="34" t="n">
        <x:v>5270049</x:v>
      </x:c>
      <x:c r="D1061" s="34" t="n">
        <x:v>46</x:v>
      </x:c>
      <x:c r="E1061" s="34" t="str">
        <x:v>VTracer</x:v>
      </x:c>
      <x:c r="F1061" s="34" t="n">
        <x:v>34128</x:v>
      </x:c>
      <x:c r="G1061" s="35" t="n">
        <x:f>IF(C1061=0,0,F1061/C1061*B1061)</x:f>
        <x:v>27.302146147028235</x:v>
      </x:c>
    </x:row>
    <x:row r="1062">
      <x:c r="A1062" s="33" t="str">
        <x:v>Contrabandistas</x:v>
      </x:c>
      <x:c r="B1062" s="34" t="n">
        <x:v>4216</x:v>
      </x:c>
      <x:c r="C1062" s="34" t="n">
        <x:v>5270049</x:v>
      </x:c>
      <x:c r="D1062" s="34" t="n">
        <x:v>47</x:v>
      </x:c>
      <x:c r="E1062" s="34" t="str">
        <x:v>Nagacaburos</x:v>
      </x:c>
      <x:c r="F1062" s="34" t="n">
        <x:v>33852</x:v>
      </x:c>
      <x:c r="G1062" s="35" t="n">
        <x:f>IF(C1062=0,0,F1062/C1062*B1062)</x:f>
        <x:v>27.081348199988273</x:v>
      </x:c>
    </x:row>
    <x:row r="1063">
      <x:c r="A1063" s="33" t="str">
        <x:v>Contrabandistas</x:v>
      </x:c>
      <x:c r="B1063" s="34" t="n">
        <x:v>4216</x:v>
      </x:c>
      <x:c r="C1063" s="34" t="n">
        <x:v>5270049</x:v>
      </x:c>
      <x:c r="D1063" s="34" t="n">
        <x:v>48</x:v>
      </x:c>
      <x:c r="E1063" s="34" t="str">
        <x:v>Xakalzin</x:v>
      </x:c>
      <x:c r="F1063" s="34" t="n">
        <x:v>31897</x:v>
      </x:c>
      <x:c r="G1063" s="35" t="n">
        <x:f>IF(C1063=0,0,F1063/C1063*B1063)</x:f>
        <x:v>25.51736274178855</x:v>
      </x:c>
    </x:row>
    <x:row r="1064">
      <x:c r="A1064" s="33" t="str">
        <x:v>Contrabandistas</x:v>
      </x:c>
      <x:c r="B1064" s="34" t="n">
        <x:v>4216</x:v>
      </x:c>
      <x:c r="C1064" s="34" t="n">
        <x:v>5270049</x:v>
      </x:c>
      <x:c r="D1064" s="34" t="n">
        <x:v>49</x:v>
      </x:c>
      <x:c r="E1064" s="34" t="str">
        <x:v>Guislave</x:v>
      </x:c>
      <x:c r="F1064" s="34" t="n">
        <x:v>30751</x:v>
      </x:c>
      <x:c r="G1064" s="35" t="n">
        <x:f>IF(C1064=0,0,F1064/C1064*B1064)</x:f>
        <x:v>24.600571266035665</x:v>
      </x:c>
    </x:row>
    <x:row r="1065">
      <x:c r="A1065" s="33" t="str">
        <x:v>Contrabandistas</x:v>
      </x:c>
      <x:c r="B1065" s="34" t="n">
        <x:v>4216</x:v>
      </x:c>
      <x:c r="C1065" s="34" t="n">
        <x:v>5270049</x:v>
      </x:c>
      <x:c r="D1065" s="34" t="n">
        <x:v>50</x:v>
      </x:c>
      <x:c r="E1065" s="34" t="str">
        <x:v>Natsury</x:v>
      </x:c>
      <x:c r="F1065" s="34" t="n">
        <x:v>30674</x:v>
      </x:c>
      <x:c r="G1065" s="35" t="n">
        <x:f>IF(C1065=0,0,F1065/C1065*B1065)</x:f>
        <x:v>24.538971838781766</x:v>
      </x:c>
    </x:row>
    <x:row r="1066">
      <x:c r="A1066" s="33" t="str">
        <x:v>Contrabandistas</x:v>
      </x:c>
      <x:c r="B1066" s="34" t="n">
        <x:v>4216</x:v>
      </x:c>
      <x:c r="C1066" s="34" t="n">
        <x:v>5270049</x:v>
      </x:c>
      <x:c r="D1066" s="34" t="n">
        <x:v>51</x:v>
      </x:c>
      <x:c r="E1066" s="34" t="str">
        <x:v>RullinSKILL</x:v>
      </x:c>
      <x:c r="F1066" s="34" t="n">
        <x:v>29541</x:v>
      </x:c>
      <x:c r="G1066" s="35" t="n">
        <x:f>IF(C1066=0,0,F1066/C1066*B1066)</x:f>
        <x:v>23.63258026633149</x:v>
      </x:c>
    </x:row>
    <x:row r="1067">
      <x:c r="A1067" s="33" t="str">
        <x:v>Contrabandistas</x:v>
      </x:c>
      <x:c r="B1067" s="34" t="n">
        <x:v>4216</x:v>
      </x:c>
      <x:c r="C1067" s="34" t="n">
        <x:v>5270049</x:v>
      </x:c>
      <x:c r="D1067" s="34" t="n">
        <x:v>52</x:v>
      </x:c>
      <x:c r="E1067" s="34" t="str">
        <x:v>maicon1357</x:v>
      </x:c>
      <x:c r="F1067" s="34" t="n">
        <x:v>29237</x:v>
      </x:c>
      <x:c r="G1067" s="35" t="n">
        <x:f>IF(C1067=0,0,F1067/C1067*B1067)</x:f>
        <x:v>23.389382527562834</x:v>
      </x:c>
    </x:row>
    <x:row r="1068">
      <x:c r="A1068" s="33" t="str">
        <x:v>Contrabandistas</x:v>
      </x:c>
      <x:c r="B1068" s="34" t="n">
        <x:v>4216</x:v>
      </x:c>
      <x:c r="C1068" s="34" t="n">
        <x:v>5270049</x:v>
      </x:c>
      <x:c r="D1068" s="34" t="n">
        <x:v>53</x:v>
      </x:c>
      <x:c r="E1068" s="34" t="str">
        <x:v>MonetaryMike</x:v>
      </x:c>
      <x:c r="F1068" s="34" t="n">
        <x:v>27649</x:v>
      </x:c>
      <x:c r="G1068" s="35" t="n">
        <x:f>IF(C1068=0,0,F1068/C1068*B1068)</x:f>
        <x:v>22.118994339521322</x:v>
      </x:c>
    </x:row>
    <x:row r="1069">
      <x:c r="A1069" s="33" t="str">
        <x:v>Contrabandistas</x:v>
      </x:c>
      <x:c r="B1069" s="34" t="n">
        <x:v>4216</x:v>
      </x:c>
      <x:c r="C1069" s="34" t="n">
        <x:v>5270049</x:v>
      </x:c>
      <x:c r="D1069" s="34" t="n">
        <x:v>54</x:v>
      </x:c>
      <x:c r="E1069" s="34" t="str">
        <x:v>teessa</x:v>
      </x:c>
      <x:c r="F1069" s="34" t="n">
        <x:v>27117</x:v>
      </x:c>
      <x:c r="G1069" s="35" t="n">
        <x:f>IF(C1069=0,0,F1069/C1069*B1069)</x:f>
        <x:v>21.69339829667618</x:v>
      </x:c>
    </x:row>
    <x:row r="1070">
      <x:c r="A1070" s="33" t="str">
        <x:v>Contrabandistas</x:v>
      </x:c>
      <x:c r="B1070" s="34" t="n">
        <x:v>4216</x:v>
      </x:c>
      <x:c r="C1070" s="34" t="n">
        <x:v>5270049</x:v>
      </x:c>
      <x:c r="D1070" s="34" t="n">
        <x:v>55</x:v>
      </x:c>
      <x:c r="E1070" s="34" t="str">
        <x:v>Lumen821</x:v>
      </x:c>
      <x:c r="F1070" s="34" t="n">
        <x:v>26544</x:v>
      </x:c>
      <x:c r="G1070" s="35" t="n">
        <x:f>IF(C1070=0,0,F1070/C1070*B1070)</x:f>
        <x:v>21.235002558799735</x:v>
      </x:c>
    </x:row>
    <x:row r="1071">
      <x:c r="A1071" s="33" t="str">
        <x:v>Contrabandistas</x:v>
      </x:c>
      <x:c r="B1071" s="34" t="n">
        <x:v>4216</x:v>
      </x:c>
      <x:c r="C1071" s="34" t="n">
        <x:v>5270049</x:v>
      </x:c>
      <x:c r="D1071" s="34" t="n">
        <x:v>56</x:v>
      </x:c>
      <x:c r="E1071" s="34" t="str">
        <x:v>MARIOMALAN</x:v>
      </x:c>
      <x:c r="F1071" s="34" t="n">
        <x:v>25791</x:v>
      </x:c>
      <x:c r="G1071" s="35" t="n">
        <x:f>IF(C1071=0,0,F1071/C1071*B1071)</x:f>
        <x:v>20.632608159810278</x:v>
      </x:c>
    </x:row>
    <x:row r="1072">
      <x:c r="A1072" s="33" t="str">
        <x:v>Contrabandistas</x:v>
      </x:c>
      <x:c r="B1072" s="34" t="n">
        <x:v>4216</x:v>
      </x:c>
      <x:c r="C1072" s="34" t="n">
        <x:v>5270049</x:v>
      </x:c>
      <x:c r="D1072" s="34" t="n">
        <x:v>57</x:v>
      </x:c>
      <x:c r="E1072" s="34" t="str">
        <x:v>OlhaOPassarinho</x:v>
      </x:c>
      <x:c r="F1072" s="34" t="n">
        <x:v>25082</x:v>
      </x:c>
      <x:c r="G1072" s="35" t="n">
        <x:f>IF(C1072=0,0,F1072/C1072*B1072)</x:f>
        <x:v>20.065413433537334</x:v>
      </x:c>
    </x:row>
    <x:row r="1073">
      <x:c r="A1073" s="33" t="str">
        <x:v>Contrabandistas</x:v>
      </x:c>
      <x:c r="B1073" s="34" t="n">
        <x:v>4216</x:v>
      </x:c>
      <x:c r="C1073" s="34" t="n">
        <x:v>5270049</x:v>
      </x:c>
      <x:c r="D1073" s="34" t="n">
        <x:v>58</x:v>
      </x:c>
      <x:c r="E1073" s="34" t="str">
        <x:v>Sum0l</x:v>
      </x:c>
      <x:c r="F1073" s="34" t="n">
        <x:v>24474</x:v>
      </x:c>
      <x:c r="G1073" s="35" t="n">
        <x:f>IF(C1073=0,0,F1073/C1073*B1073)</x:f>
        <x:v>19.57901795600003</x:v>
      </x:c>
    </x:row>
    <x:row r="1074">
      <x:c r="A1074" s="33" t="str">
        <x:v>Contrabandistas</x:v>
      </x:c>
      <x:c r="B1074" s="34" t="n">
        <x:v>4216</x:v>
      </x:c>
      <x:c r="C1074" s="34" t="n">
        <x:v>5270049</x:v>
      </x:c>
      <x:c r="D1074" s="34" t="n">
        <x:v>59</x:v>
      </x:c>
      <x:c r="E1074" s="34" t="str">
        <x:v>Lostmothers</x:v>
      </x:c>
      <x:c r="F1074" s="34" t="n">
        <x:v>23502</x:v>
      </x:c>
      <x:c r="G1074" s="35" t="n">
        <x:f>IF(C1074=0,0,F1074/C1074*B1074)</x:f>
        <x:v>18.801425185989732</x:v>
      </x:c>
    </x:row>
    <x:row r="1075">
      <x:c r="A1075" s="33" t="str">
        <x:v>Contrabandistas</x:v>
      </x:c>
      <x:c r="B1075" s="34" t="n">
        <x:v>4216</x:v>
      </x:c>
      <x:c r="C1075" s="34" t="n">
        <x:v>5270049</x:v>
      </x:c>
      <x:c r="D1075" s="34" t="n">
        <x:v>60</x:v>
      </x:c>
      <x:c r="E1075" s="34" t="str">
        <x:v>zBrunooHD</x:v>
      </x:c>
      <x:c r="F1075" s="34" t="n">
        <x:v>23036</x:v>
      </x:c>
      <x:c r="G1075" s="35" t="n">
        <x:f>IF(C1075=0,0,F1075/C1075*B1075)</x:f>
        <x:v>18.428628652219363</x:v>
      </x:c>
    </x:row>
    <x:row r="1076">
      <x:c r="A1076" s="33" t="str">
        <x:v>Contrabandistas</x:v>
      </x:c>
      <x:c r="B1076" s="34" t="n">
        <x:v>4216</x:v>
      </x:c>
      <x:c r="C1076" s="34" t="n">
        <x:v>5270049</x:v>
      </x:c>
      <x:c r="D1076" s="34" t="n">
        <x:v>61</x:v>
      </x:c>
      <x:c r="E1076" s="34" t="str">
        <x:v>goncalves23</x:v>
      </x:c>
      <x:c r="F1076" s="34" t="n">
        <x:v>22468</x:v>
      </x:c>
      <x:c r="G1076" s="35" t="n">
        <x:f>IF(C1076=0,0,F1076/C1076*B1076)</x:f>
        <x:v>17.974232877151618</x:v>
      </x:c>
    </x:row>
    <x:row r="1077">
      <x:c r="A1077" s="33" t="str">
        <x:v>Contrabandistas</x:v>
      </x:c>
      <x:c r="B1077" s="34" t="n">
        <x:v>4216</x:v>
      </x:c>
      <x:c r="C1077" s="34" t="n">
        <x:v>5270049</x:v>
      </x:c>
      <x:c r="D1077" s="34" t="n">
        <x:v>62</x:v>
      </x:c>
      <x:c r="E1077" s="34" t="str">
        <x:v>Nandixx</x:v>
      </x:c>
      <x:c r="F1077" s="34" t="n">
        <x:v>21666</x:v>
      </x:c>
      <x:c r="G1077" s="35" t="n">
        <x:f>IF(C1077=0,0,F1077/C1077*B1077)</x:f>
        <x:v>17.332638842636946</x:v>
      </x:c>
    </x:row>
    <x:row r="1078">
      <x:c r="A1078" s="33" t="str">
        <x:v>Contrabandistas</x:v>
      </x:c>
      <x:c r="B1078" s="34" t="n">
        <x:v>4216</x:v>
      </x:c>
      <x:c r="C1078" s="34" t="n">
        <x:v>5270049</x:v>
      </x:c>
      <x:c r="D1078" s="34" t="n">
        <x:v>63</x:v>
      </x:c>
      <x:c r="E1078" s="34" t="str">
        <x:v>YukitoRaiden</x:v>
      </x:c>
      <x:c r="F1078" s="34" t="n">
        <x:v>21596</x:v>
      </x:c>
      <x:c r="G1078" s="35" t="n">
        <x:f>IF(C1078=0,0,F1078/C1078*B1078)</x:f>
        <x:v>17.276639363315216</x:v>
      </x:c>
    </x:row>
    <x:row r="1079">
      <x:c r="A1079" s="33" t="str">
        <x:v>Contrabandistas</x:v>
      </x:c>
      <x:c r="B1079" s="34" t="n">
        <x:v>4216</x:v>
      </x:c>
      <x:c r="C1079" s="34" t="n">
        <x:v>5270049</x:v>
      </x:c>
      <x:c r="D1079" s="34" t="n">
        <x:v>64</x:v>
      </x:c>
      <x:c r="E1079" s="34" t="str">
        <x:v>OkiteKomi</x:v>
      </x:c>
      <x:c r="F1079" s="34" t="n">
        <x:v>21550</x:v>
      </x:c>
      <x:c r="G1079" s="35" t="n">
        <x:f>IF(C1079=0,0,F1079/C1079*B1079)</x:f>
        <x:v>17.239839705475223</x:v>
      </x:c>
    </x:row>
    <x:row r="1080">
      <x:c r="A1080" s="33" t="str">
        <x:v>Contrabandistas</x:v>
      </x:c>
      <x:c r="B1080" s="34" t="n">
        <x:v>4216</x:v>
      </x:c>
      <x:c r="C1080" s="34" t="n">
        <x:v>5270049</x:v>
      </x:c>
      <x:c r="D1080" s="34" t="n">
        <x:v>65</x:v>
      </x:c>
      <x:c r="E1080" s="34" t="str">
        <x:v>Superpk</x:v>
      </x:c>
      <x:c r="F1080" s="34" t="n">
        <x:v>20675</x:v>
      </x:c>
      <x:c r="G1080" s="35" t="n">
        <x:f>IF(C1080=0,0,F1080/C1080*B1080)</x:f>
        <x:v>16.53984621395361</x:v>
      </x:c>
    </x:row>
    <x:row r="1081">
      <x:c r="A1081" s="33" t="str">
        <x:v>Contrabandistas</x:v>
      </x:c>
      <x:c r="B1081" s="34" t="n">
        <x:v>4216</x:v>
      </x:c>
      <x:c r="C1081" s="34" t="n">
        <x:v>5270049</x:v>
      </x:c>
      <x:c r="D1081" s="34" t="n">
        <x:v>66</x:v>
      </x:c>
      <x:c r="E1081" s="34" t="str">
        <x:v>SeuDanadoo</x:v>
      </x:c>
      <x:c r="F1081" s="34" t="n">
        <x:v>20280</x:v>
      </x:c>
      <x:c r="G1081" s="35" t="n">
        <x:f>IF(C1081=0,0,F1081/C1081*B1081)</x:f>
        <x:v>16.22384915206671</x:v>
      </x:c>
    </x:row>
    <x:row r="1082">
      <x:c r="A1082" s="33" t="str">
        <x:v>Contrabandistas</x:v>
      </x:c>
      <x:c r="B1082" s="34" t="n">
        <x:v>4216</x:v>
      </x:c>
      <x:c r="C1082" s="34" t="n">
        <x:v>5270049</x:v>
      </x:c>
      <x:c r="D1082" s="34" t="n">
        <x:v>67</x:v>
      </x:c>
      <x:c r="E1082" s="34" t="str">
        <x:v>Reguilla</x:v>
      </x:c>
      <x:c r="F1082" s="34" t="n">
        <x:v>19669</x:v>
      </x:c>
      <x:c r="G1082" s="35" t="n">
        <x:f>IF(C1082=0,0,F1082/C1082*B1082)</x:f>
        <x:v>15.735053696844187</x:v>
      </x:c>
    </x:row>
    <x:row r="1083">
      <x:c r="A1083" s="33" t="str">
        <x:v>Contrabandistas</x:v>
      </x:c>
      <x:c r="B1083" s="34" t="n">
        <x:v>4216</x:v>
      </x:c>
      <x:c r="C1083" s="34" t="n">
        <x:v>5270049</x:v>
      </x:c>
      <x:c r="D1083" s="34" t="n">
        <x:v>68</x:v>
      </x:c>
      <x:c r="E1083" s="34" t="str">
        <x:v>BobBob</x:v>
      </x:c>
      <x:c r="F1083" s="34" t="n">
        <x:v>19612</x:v>
      </x:c>
      <x:c r="G1083" s="35" t="n">
        <x:f>IF(C1083=0,0,F1083/C1083*B1083)</x:f>
        <x:v>15.689454120825063</x:v>
      </x:c>
    </x:row>
    <x:row r="1084">
      <x:c r="A1084" s="33" t="str">
        <x:v>Contrabandistas</x:v>
      </x:c>
      <x:c r="B1084" s="34" t="n">
        <x:v>4216</x:v>
      </x:c>
      <x:c r="C1084" s="34" t="n">
        <x:v>5270049</x:v>
      </x:c>
      <x:c r="D1084" s="34" t="n">
        <x:v>69</x:v>
      </x:c>
      <x:c r="E1084" s="34" t="str">
        <x:v>Hachixi</x:v>
      </x:c>
      <x:c r="F1084" s="34" t="n">
        <x:v>18783</x:v>
      </x:c>
      <x:c r="G1084" s="35" t="n">
        <x:f>IF(C1084=0,0,F1084/C1084*B1084)</x:f>
        <x:v>15.02626028714344</x:v>
      </x:c>
    </x:row>
    <x:row r="1085">
      <x:c r="A1085" s="33" t="str">
        <x:v>Contrabandistas</x:v>
      </x:c>
      <x:c r="B1085" s="34" t="n">
        <x:v>4216</x:v>
      </x:c>
      <x:c r="C1085" s="34" t="n">
        <x:v>5270049</x:v>
      </x:c>
      <x:c r="D1085" s="34" t="n">
        <x:v>70</x:v>
      </x:c>
      <x:c r="E1085" s="34" t="str">
        <x:v>WellITKD</x:v>
      </x:c>
      <x:c r="F1085" s="34" t="n">
        <x:v>18753</x:v>
      </x:c>
      <x:c r="G1085" s="35" t="n">
        <x:f>IF(C1085=0,0,F1085/C1085*B1085)</x:f>
        <x:v>15.00226051029127</x:v>
      </x:c>
    </x:row>
    <x:row r="1086">
      <x:c r="A1086" s="33" t="str">
        <x:v>Contrabandistas</x:v>
      </x:c>
      <x:c r="B1086" s="34" t="n">
        <x:v>4216</x:v>
      </x:c>
      <x:c r="C1086" s="34" t="n">
        <x:v>5270049</x:v>
      </x:c>
      <x:c r="D1086" s="34" t="n">
        <x:v>71</x:v>
      </x:c>
      <x:c r="E1086" s="34" t="str">
        <x:v>leonekilua</x:v>
      </x:c>
      <x:c r="F1086" s="34" t="n">
        <x:v>18099</x:v>
      </x:c>
      <x:c r="G1086" s="35" t="n">
        <x:f>IF(C1086=0,0,F1086/C1086*B1086)</x:f>
        <x:v>14.47906537491397</x:v>
      </x:c>
    </x:row>
    <x:row r="1087">
      <x:c r="A1087" s="33" t="str">
        <x:v>Contrabandistas</x:v>
      </x:c>
      <x:c r="B1087" s="34" t="n">
        <x:v>4216</x:v>
      </x:c>
      <x:c r="C1087" s="34" t="n">
        <x:v>5270049</x:v>
      </x:c>
      <x:c r="D1087" s="34" t="n">
        <x:v>72</x:v>
      </x:c>
      <x:c r="E1087" s="34" t="str">
        <x:v>jrfate</x:v>
      </x:c>
      <x:c r="F1087" s="34" t="n">
        <x:v>17551</x:v>
      </x:c>
      <x:c r="G1087" s="35" t="n">
        <x:f>IF(C1087=0,0,F1087/C1087*B1087)</x:f>
        <x:v>14.040669451081005</x:v>
      </x:c>
    </x:row>
    <x:row r="1088">
      <x:c r="A1088" s="33" t="str">
        <x:v>Contrabandistas</x:v>
      </x:c>
      <x:c r="B1088" s="34" t="n">
        <x:v>4216</x:v>
      </x:c>
      <x:c r="C1088" s="34" t="n">
        <x:v>5270049</x:v>
      </x:c>
      <x:c r="D1088" s="34" t="n">
        <x:v>73</x:v>
      </x:c>
      <x:c r="E1088" s="34" t="str">
        <x:v>HolyGyat2324</x:v>
      </x:c>
      <x:c r="F1088" s="34" t="n">
        <x:v>17439</x:v>
      </x:c>
      <x:c r="G1088" s="35" t="n">
        <x:f>IF(C1088=0,0,F1088/C1088*B1088)</x:f>
        <x:v>13.951070284166239</x:v>
      </x:c>
    </x:row>
    <x:row r="1089">
      <x:c r="A1089" s="33" t="str">
        <x:v>Contrabandistas</x:v>
      </x:c>
      <x:c r="B1089" s="34" t="n">
        <x:v>4216</x:v>
      </x:c>
      <x:c r="C1089" s="34" t="n">
        <x:v>5270049</x:v>
      </x:c>
      <x:c r="D1089" s="34" t="n">
        <x:v>74</x:v>
      </x:c>
      <x:c r="E1089" s="34" t="str">
        <x:v>WarlockLord</x:v>
      </x:c>
      <x:c r="F1089" s="34" t="n">
        <x:v>17178</x:v>
      </x:c>
      <x:c r="G1089" s="35" t="n">
        <x:f>IF(C1089=0,0,F1089/C1089*B1089)</x:f>
        <x:v>13.742272225552362</x:v>
      </x:c>
    </x:row>
    <x:row r="1090">
      <x:c r="A1090" s="33" t="str">
        <x:v>Contrabandistas</x:v>
      </x:c>
      <x:c r="B1090" s="34" t="n">
        <x:v>4216</x:v>
      </x:c>
      <x:c r="C1090" s="34" t="n">
        <x:v>5270049</x:v>
      </x:c>
      <x:c r="D1090" s="34" t="n">
        <x:v>75</x:v>
      </x:c>
      <x:c r="E1090" s="34" t="str">
        <x:v>Superrr2855</x:v>
      </x:c>
      <x:c r="F1090" s="34" t="n">
        <x:v>16663</x:v>
      </x:c>
      <x:c r="G1090" s="35" t="n">
        <x:f>IF(C1090=0,0,F1090/C1090*B1090)</x:f>
        <x:v>13.330276056256782</x:v>
      </x:c>
    </x:row>
    <x:row r="1091">
      <x:c r="A1091" s="33" t="str">
        <x:v>Contrabandistas</x:v>
      </x:c>
      <x:c r="B1091" s="34" t="n">
        <x:v>4216</x:v>
      </x:c>
      <x:c r="C1091" s="34" t="n">
        <x:v>5270049</x:v>
      </x:c>
      <x:c r="D1091" s="34" t="n">
        <x:v>76</x:v>
      </x:c>
      <x:c r="E1091" s="34" t="str">
        <x:v>Karz1N</x:v>
      </x:c>
      <x:c r="F1091" s="34" t="n">
        <x:v>16192</x:v>
      </x:c>
      <x:c r="G1091" s="35" t="n">
        <x:f>IF(C1091=0,0,F1091/C1091*B1091)</x:f>
        <x:v>12.953479559677719</x:v>
      </x:c>
    </x:row>
    <x:row r="1092">
      <x:c r="A1092" s="33" t="str">
        <x:v>Contrabandistas</x:v>
      </x:c>
      <x:c r="B1092" s="34" t="n">
        <x:v>4216</x:v>
      </x:c>
      <x:c r="C1092" s="34" t="n">
        <x:v>5270049</x:v>
      </x:c>
      <x:c r="D1092" s="34" t="n">
        <x:v>77</x:v>
      </x:c>
      <x:c r="E1092" s="34" t="str">
        <x:v>MYLOLA262</x:v>
      </x:c>
      <x:c r="F1092" s="34" t="n">
        <x:v>15727</x:v>
      </x:c>
      <x:c r="G1092" s="35" t="n">
        <x:f>IF(C1092=0,0,F1092/C1092*B1092)</x:f>
        <x:v>12.581483018469088</x:v>
      </x:c>
    </x:row>
    <x:row r="1093">
      <x:c r="A1093" s="33" t="str">
        <x:v>Contrabandistas</x:v>
      </x:c>
      <x:c r="B1093" s="34" t="n">
        <x:v>4216</x:v>
      </x:c>
      <x:c r="C1093" s="34" t="n">
        <x:v>5270049</x:v>
      </x:c>
      <x:c r="D1093" s="34" t="n">
        <x:v>78</x:v>
      </x:c>
      <x:c r="E1093" s="34" t="str">
        <x:v>Imortal</x:v>
      </x:c>
      <x:c r="F1093" s="34" t="n">
        <x:v>15256</x:v>
      </x:c>
      <x:c r="G1093" s="35" t="n">
        <x:f>IF(C1093=0,0,F1093/C1093*B1093)</x:f>
        <x:v>12.204686521890025</x:v>
      </x:c>
    </x:row>
    <x:row r="1094">
      <x:c r="A1094" s="33" t="str">
        <x:v>Contrabandistas</x:v>
      </x:c>
      <x:c r="B1094" s="34" t="n">
        <x:v>4216</x:v>
      </x:c>
      <x:c r="C1094" s="34" t="n">
        <x:v>5270049</x:v>
      </x:c>
      <x:c r="D1094" s="34" t="n">
        <x:v>79</x:v>
      </x:c>
      <x:c r="E1094" s="34" t="str">
        <x:v>BrunoAnulino</x:v>
      </x:c>
      <x:c r="F1094" s="34" t="n">
        <x:v>15104</x:v>
      </x:c>
      <x:c r="G1094" s="35" t="n">
        <x:f>IF(C1094=0,0,F1094/C1094*B1094)</x:f>
        <x:v>12.083087652505696</x:v>
      </x:c>
    </x:row>
    <x:row r="1095">
      <x:c r="A1095" s="33" t="str">
        <x:v>Contrabandistas</x:v>
      </x:c>
      <x:c r="B1095" s="34" t="n">
        <x:v>4216</x:v>
      </x:c>
      <x:c r="C1095" s="34" t="n">
        <x:v>5270049</x:v>
      </x:c>
      <x:c r="D1095" s="34" t="n">
        <x:v>80</x:v>
      </x:c>
      <x:c r="E1095" s="34" t="str">
        <x:v>morrty</x:v>
      </x:c>
      <x:c r="F1095" s="34" t="n">
        <x:v>15063</x:v>
      </x:c>
      <x:c r="G1095" s="35" t="n">
        <x:f>IF(C1095=0,0,F1095/C1095*B1095)</x:f>
        <x:v>12.0502879574744</x:v>
      </x:c>
    </x:row>
    <x:row r="1096">
      <x:c r="A1096" s="33" t="str">
        <x:v>Contrabandistas</x:v>
      </x:c>
      <x:c r="B1096" s="34" t="n">
        <x:v>4216</x:v>
      </x:c>
      <x:c r="C1096" s="34" t="n">
        <x:v>5270049</x:v>
      </x:c>
      <x:c r="D1096" s="34" t="n">
        <x:v>81</x:v>
      </x:c>
      <x:c r="E1096" s="34" t="str">
        <x:v>TheoTheLion</x:v>
      </x:c>
      <x:c r="F1096" s="34" t="n">
        <x:v>14667</x:v>
      </x:c>
      <x:c r="G1096" s="35" t="n">
        <x:f>IF(C1096=0,0,F1096/C1096*B1096)</x:f>
        <x:v>11.733490903025759</x:v>
      </x:c>
    </x:row>
    <x:row r="1097">
      <x:c r="A1097" s="33" t="str">
        <x:v>Contrabandistas</x:v>
      </x:c>
      <x:c r="B1097" s="34" t="n">
        <x:v>4216</x:v>
      </x:c>
      <x:c r="C1097" s="34" t="n">
        <x:v>5270049</x:v>
      </x:c>
      <x:c r="D1097" s="34" t="n">
        <x:v>82</x:v>
      </x:c>
      <x:c r="E1097" s="34" t="str">
        <x:v>MachoAlpha</x:v>
      </x:c>
      <x:c r="F1097" s="34" t="n">
        <x:v>14504</x:v>
      </x:c>
      <x:c r="G1097" s="35" t="n">
        <x:f>IF(C1097=0,0,F1097/C1097*B1097)</x:f>
        <x:v>11.603092115462305</x:v>
      </x:c>
    </x:row>
    <x:row r="1098">
      <x:c r="A1098" s="33" t="str">
        <x:v>Contrabandistas</x:v>
      </x:c>
      <x:c r="B1098" s="34" t="n">
        <x:v>4216</x:v>
      </x:c>
      <x:c r="C1098" s="34" t="n">
        <x:v>5270049</x:v>
      </x:c>
      <x:c r="D1098" s="34" t="n">
        <x:v>83</x:v>
      </x:c>
      <x:c r="E1098" s="34" t="str">
        <x:v>julioczr</x:v>
      </x:c>
      <x:c r="F1098" s="34" t="n">
        <x:v>14036</x:v>
      </x:c>
      <x:c r="G1098" s="35" t="n">
        <x:f>IF(C1098=0,0,F1098/C1098*B1098)</x:f>
        <x:v>11.228695596568457</x:v>
      </x:c>
    </x:row>
    <x:row r="1099">
      <x:c r="A1099" s="33" t="str">
        <x:v>Contrabandistas</x:v>
      </x:c>
      <x:c r="B1099" s="34" t="n">
        <x:v>4216</x:v>
      </x:c>
      <x:c r="C1099" s="34" t="n">
        <x:v>5270049</x:v>
      </x:c>
      <x:c r="D1099" s="34" t="n">
        <x:v>84</x:v>
      </x:c>
      <x:c r="E1099" s="34" t="str">
        <x:v>IIIIIIIIIII</x:v>
      </x:c>
      <x:c r="F1099" s="34" t="n">
        <x:v>13385</x:v>
      </x:c>
      <x:c r="G1099" s="35" t="n">
        <x:f>IF(C1099=0,0,F1099/C1099*B1099)</x:f>
        <x:v>10.707900438876374</x:v>
      </x:c>
    </x:row>
    <x:row r="1100">
      <x:c r="A1100" s="33" t="str">
        <x:v>Contrabandistas</x:v>
      </x:c>
      <x:c r="B1100" s="34" t="n">
        <x:v>4216</x:v>
      </x:c>
      <x:c r="C1100" s="34" t="n">
        <x:v>5270049</x:v>
      </x:c>
      <x:c r="D1100" s="34" t="n">
        <x:v>85</x:v>
      </x:c>
      <x:c r="E1100" s="34" t="str">
        <x:v>RodriRowanShade</x:v>
      </x:c>
      <x:c r="F1100" s="34" t="n">
        <x:v>13236</x:v>
      </x:c>
      <x:c r="G1100" s="35" t="n">
        <x:f>IF(C1100=0,0,F1100/C1100*B1100)</x:f>
        <x:v>10.588701547177264</x:v>
      </x:c>
    </x:row>
    <x:row r="1101">
      <x:c r="A1101" s="33" t="str">
        <x:v>Contrabandistas</x:v>
      </x:c>
      <x:c r="B1101" s="34" t="n">
        <x:v>4216</x:v>
      </x:c>
      <x:c r="C1101" s="34" t="n">
        <x:v>5270049</x:v>
      </x:c>
      <x:c r="D1101" s="34" t="n">
        <x:v>86</x:v>
      </x:c>
      <x:c r="E1101" s="34" t="str">
        <x:v>Groom84</x:v>
      </x:c>
      <x:c r="F1101" s="34" t="n">
        <x:v>12989</x:v>
      </x:c>
      <x:c r="G1101" s="35" t="n">
        <x:f>IF(C1101=0,0,F1101/C1101*B1101)</x:f>
        <x:v>10.391103384427735</x:v>
      </x:c>
    </x:row>
    <x:row r="1102">
      <x:c r="A1102" s="33" t="str">
        <x:v>Contrabandistas</x:v>
      </x:c>
      <x:c r="B1102" s="34" t="n">
        <x:v>4216</x:v>
      </x:c>
      <x:c r="C1102" s="34" t="n">
        <x:v>5270049</x:v>
      </x:c>
      <x:c r="D1102" s="34" t="n">
        <x:v>87</x:v>
      </x:c>
      <x:c r="E1102" s="34" t="str">
        <x:v>CunaPrata</x:v>
      </x:c>
      <x:c r="F1102" s="34" t="n">
        <x:v>12762</x:v>
      </x:c>
      <x:c r="G1102" s="35" t="n">
        <x:f>IF(C1102=0,0,F1102/C1102*B1102)</x:f>
        <x:v>10.209505072912986</x:v>
      </x:c>
    </x:row>
    <x:row r="1103">
      <x:c r="A1103" s="33" t="str">
        <x:v>Contrabandistas</x:v>
      </x:c>
      <x:c r="B1103" s="34" t="n">
        <x:v>4216</x:v>
      </x:c>
      <x:c r="C1103" s="34" t="n">
        <x:v>5270049</x:v>
      </x:c>
      <x:c r="D1103" s="34" t="n">
        <x:v>88</x:v>
      </x:c>
      <x:c r="E1103" s="34" t="str">
        <x:v>vadisley</x:v>
      </x:c>
      <x:c r="F1103" s="34" t="n">
        <x:v>12060</x:v>
      </x:c>
      <x:c r="G1103" s="35" t="n">
        <x:f>IF(C1103=0,0,F1103/C1103*B1103)</x:f>
        <x:v>9.647910294572213</x:v>
      </x:c>
    </x:row>
    <x:row r="1104">
      <x:c r="A1104" s="33" t="str">
        <x:v>Contrabandistas</x:v>
      </x:c>
      <x:c r="B1104" s="34" t="n">
        <x:v>4216</x:v>
      </x:c>
      <x:c r="C1104" s="34" t="n">
        <x:v>5270049</x:v>
      </x:c>
      <x:c r="D1104" s="34" t="n">
        <x:v>89</x:v>
      </x:c>
      <x:c r="E1104" s="34" t="str">
        <x:v>AnjoThall</x:v>
      </x:c>
      <x:c r="F1104" s="34" t="n">
        <x:v>11936</x:v>
      </x:c>
      <x:c r="G1104" s="35" t="n">
        <x:f>IF(C1104=0,0,F1104/C1104*B1104)</x:f>
        <x:v>9.54871121691658</x:v>
      </x:c>
    </x:row>
    <x:row r="1105">
      <x:c r="A1105" s="33" t="str">
        <x:v>Contrabandistas</x:v>
      </x:c>
      <x:c r="B1105" s="34" t="n">
        <x:v>4216</x:v>
      </x:c>
      <x:c r="C1105" s="34" t="n">
        <x:v>5270049</x:v>
      </x:c>
      <x:c r="D1105" s="34" t="n">
        <x:v>90</x:v>
      </x:c>
      <x:c r="E1105" s="34" t="str">
        <x:v>Davimix</x:v>
      </x:c>
      <x:c r="F1105" s="34" t="n">
        <x:v>11826</x:v>
      </x:c>
      <x:c r="G1105" s="35" t="n">
        <x:f>IF(C1105=0,0,F1105/C1105*B1105)</x:f>
        <x:v>9.46071203512529</x:v>
      </x:c>
    </x:row>
    <x:row r="1106">
      <x:c r="A1106" s="33" t="str">
        <x:v>Contrabandistas</x:v>
      </x:c>
      <x:c r="B1106" s="34" t="n">
        <x:v>4216</x:v>
      </x:c>
      <x:c r="C1106" s="34" t="n">
        <x:v>5270049</x:v>
      </x:c>
      <x:c r="D1106" s="34" t="n">
        <x:v>91</x:v>
      </x:c>
      <x:c r="E1106" s="34" t="str">
        <x:v>Cominhos</x:v>
      </x:c>
      <x:c r="F1106" s="34" t="n">
        <x:v>11792</x:v>
      </x:c>
      <x:c r="G1106" s="35" t="n">
        <x:f>IF(C1106=0,0,F1106/C1106*B1106)</x:f>
        <x:v>9.433512288026163</x:v>
      </x:c>
    </x:row>
    <x:row r="1107">
      <x:c r="A1107" s="33" t="str">
        <x:v>Contrabandistas</x:v>
      </x:c>
      <x:c r="B1107" s="34" t="n">
        <x:v>4216</x:v>
      </x:c>
      <x:c r="C1107" s="34" t="n">
        <x:v>5270049</x:v>
      </x:c>
      <x:c r="D1107" s="34" t="n">
        <x:v>92</x:v>
      </x:c>
      <x:c r="E1107" s="34" t="str">
        <x:v>NevesxC</x:v>
      </x:c>
      <x:c r="F1107" s="34" t="n">
        <x:v>11539</x:v>
      </x:c>
      <x:c r="G1107" s="35" t="n">
        <x:f>IF(C1107=0,0,F1107/C1107*B1107)</x:f>
        <x:v>9.231114169906201</x:v>
      </x:c>
    </x:row>
    <x:row r="1108">
      <x:c r="A1108" s="33" t="str">
        <x:v>Contrabandistas</x:v>
      </x:c>
      <x:c r="B1108" s="34" t="n">
        <x:v>4216</x:v>
      </x:c>
      <x:c r="C1108" s="34" t="n">
        <x:v>5270049</x:v>
      </x:c>
      <x:c r="D1108" s="34" t="n">
        <x:v>93</x:v>
      </x:c>
      <x:c r="E1108" s="34" t="str">
        <x:v>KABRITONHO</x:v>
      </x:c>
      <x:c r="F1108" s="34" t="n">
        <x:v>9894</x:v>
      </x:c>
      <x:c r="G1108" s="35" t="n">
        <x:f>IF(C1108=0,0,F1108/C1108*B1108)</x:f>
        <x:v>7.915126405845562</x:v>
      </x:c>
    </x:row>
    <x:row r="1109">
      <x:c r="A1109" s="33" t="str">
        <x:v>Contrabandistas</x:v>
      </x:c>
      <x:c r="B1109" s="34" t="n">
        <x:v>4216</x:v>
      </x:c>
      <x:c r="C1109" s="34" t="n">
        <x:v>5270049</x:v>
      </x:c>
      <x:c r="D1109" s="34" t="n">
        <x:v>94</x:v>
      </x:c>
      <x:c r="E1109" s="34" t="str">
        <x:v>VULTO</x:v>
      </x:c>
      <x:c r="F1109" s="34" t="n">
        <x:v>8375</x:v>
      </x:c>
      <x:c r="G1109" s="35" t="n">
        <x:f>IF(C1109=0,0,F1109/C1109*B1109)</x:f>
        <x:v>6.699937704564038</x:v>
      </x:c>
    </x:row>
    <x:row r="1110">
      <x:c r="A1110" s="33" t="str">
        <x:v>Contrabandistas</x:v>
      </x:c>
      <x:c r="B1110" s="34" t="n">
        <x:v>4216</x:v>
      </x:c>
      <x:c r="C1110" s="34" t="n">
        <x:v>5270049</x:v>
      </x:c>
      <x:c r="D1110" s="34" t="n">
        <x:v>95</x:v>
      </x:c>
      <x:c r="E1110" s="34" t="str">
        <x:v>Mavin</x:v>
      </x:c>
      <x:c r="F1110" s="34" t="n">
        <x:v>8187</x:v>
      </x:c>
      <x:c r="G1110" s="35" t="n">
        <x:f>IF(C1110=0,0,F1110/C1110*B1110)</x:f>
        <x:v>6.549539102957107</x:v>
      </x:c>
    </x:row>
    <x:row r="1111">
      <x:c r="A1111" s="33" t="str">
        <x:v>Contrabandistas</x:v>
      </x:c>
      <x:c r="B1111" s="34" t="n">
        <x:v>4216</x:v>
      </x:c>
      <x:c r="C1111" s="34" t="n">
        <x:v>5270049</x:v>
      </x:c>
      <x:c r="D1111" s="34" t="n">
        <x:v>96</x:v>
      </x:c>
      <x:c r="E1111" s="34" t="str">
        <x:v>diovolo</x:v>
      </x:c>
      <x:c r="F1111" s="34" t="n">
        <x:v>7536</x:v>
      </x:c>
      <x:c r="G1111" s="35" t="n">
        <x:f>IF(C1111=0,0,F1111/C1111*B1111)</x:f>
        <x:v>6.028743945265026</x:v>
      </x:c>
    </x:row>
    <x:row r="1112">
      <x:c r="A1112" s="33" t="str">
        <x:v>Contrabandistas</x:v>
      </x:c>
      <x:c r="B1112" s="34" t="n">
        <x:v>4216</x:v>
      </x:c>
      <x:c r="C1112" s="34" t="n">
        <x:v>5270049</x:v>
      </x:c>
      <x:c r="D1112" s="34" t="n">
        <x:v>97</x:v>
      </x:c>
      <x:c r="E1112" s="34" t="str">
        <x:v>1NightReaperLWY</x:v>
      </x:c>
      <x:c r="F1112" s="34" t="n">
        <x:v>7341</x:v>
      </x:c>
      <x:c r="G1112" s="35" t="n">
        <x:f>IF(C1112=0,0,F1112/C1112*B1112)</x:f>
        <x:v>5.872745395725922</x:v>
      </x:c>
    </x:row>
    <x:row r="1113">
      <x:c r="A1113" s="33" t="str">
        <x:v>Contrabandistas</x:v>
      </x:c>
      <x:c r="B1113" s="34" t="n">
        <x:v>4216</x:v>
      </x:c>
      <x:c r="C1113" s="34" t="n">
        <x:v>5270049</x:v>
      </x:c>
      <x:c r="D1113" s="34" t="n">
        <x:v>98</x:v>
      </x:c>
      <x:c r="E1113" s="34" t="str">
        <x:v>XIShanksXI</x:v>
      </x:c>
      <x:c r="F1113" s="34" t="n">
        <x:v>6888</x:v>
      </x:c>
      <x:c r="G1113" s="35" t="n">
        <x:f>IF(C1113=0,0,F1113/C1113*B1113)</x:f>
        <x:v>5.51034876525816</x:v>
      </x:c>
    </x:row>
    <x:row r="1114">
      <x:c r="A1114" s="33" t="str">
        <x:v>Contrabandistas</x:v>
      </x:c>
      <x:c r="B1114" s="34" t="n">
        <x:v>4216</x:v>
      </x:c>
      <x:c r="C1114" s="34" t="n">
        <x:v>5270049</x:v>
      </x:c>
      <x:c r="D1114" s="34" t="n">
        <x:v>99</x:v>
      </x:c>
      <x:c r="E1114" s="34" t="str">
        <x:v>Kytario</x:v>
      </x:c>
      <x:c r="F1114" s="34" t="n">
        <x:v>6765</x:v>
      </x:c>
      <x:c r="G1114" s="35" t="n">
        <x:f>IF(C1114=0,0,F1114/C1114*B1114)</x:f>
        <x:v>5.4119496801642635</x:v>
      </x:c>
    </x:row>
    <x:row r="1115">
      <x:c r="A1115" s="33" t="str">
        <x:v>Contrabandistas</x:v>
      </x:c>
      <x:c r="B1115" s="34" t="n">
        <x:v>4216</x:v>
      </x:c>
      <x:c r="C1115" s="34" t="n">
        <x:v>5270049</x:v>
      </x:c>
      <x:c r="D1115" s="34" t="n">
        <x:v>100</x:v>
      </x:c>
      <x:c r="E1115" s="34" t="str">
        <x:v>Merlinavo</x:v>
      </x:c>
      <x:c r="F1115" s="34" t="n">
        <x:v>6566</x:v>
      </x:c>
      <x:c r="G1115" s="35" t="n">
        <x:f>IF(C1115=0,0,F1115/C1115*B1115)</x:f>
        <x:v>5.252751160378205</x:v>
      </x:c>
    </x:row>
    <x:row r="1116">
      <x:c r="A1116" s="33" t="str">
        <x:v>Contrabandistas</x:v>
      </x:c>
      <x:c r="B1116" s="34" t="n">
        <x:v>4216</x:v>
      </x:c>
      <x:c r="C1116" s="34" t="n">
        <x:v>5270049</x:v>
      </x:c>
      <x:c r="D1116" s="34" t="n">
        <x:v>101</x:v>
      </x:c>
      <x:c r="E1116" s="34" t="str">
        <x:v>TensaiPT</x:v>
      </x:c>
      <x:c r="F1116" s="34" t="n">
        <x:v>6052</x:v>
      </x:c>
      <x:c r="G1116" s="35" t="n">
        <x:f>IF(C1116=0,0,F1116/C1116*B1116)</x:f>
        <x:v>4.8415549836443645</x:v>
      </x:c>
    </x:row>
    <x:row r="1117">
      <x:c r="A1117" s="33" t="str">
        <x:v>Contrabandistas</x:v>
      </x:c>
      <x:c r="B1117" s="34" t="n">
        <x:v>4216</x:v>
      </x:c>
      <x:c r="C1117" s="34" t="n">
        <x:v>5270049</x:v>
      </x:c>
      <x:c r="D1117" s="34" t="n">
        <x:v>102</x:v>
      </x:c>
      <x:c r="E1117" s="34" t="str">
        <x:v>vitinraba</x:v>
      </x:c>
      <x:c r="F1117" s="34" t="n">
        <x:v>5853</x:v>
      </x:c>
      <x:c r="G1117" s="35" t="n">
        <x:f>IF(C1117=0,0,F1117/C1117*B1117)</x:f>
        <x:v>4.682356463858305</x:v>
      </x:c>
    </x:row>
    <x:row r="1118">
      <x:c r="A1118" s="33" t="str">
        <x:v>Contrabandistas</x:v>
      </x:c>
      <x:c r="B1118" s="34" t="n">
        <x:v>4216</x:v>
      </x:c>
      <x:c r="C1118" s="34" t="n">
        <x:v>5270049</x:v>
      </x:c>
      <x:c r="D1118" s="34" t="n">
        <x:v>103</x:v>
      </x:c>
      <x:c r="E1118" s="34" t="str">
        <x:v>1SkylifhtLWY</x:v>
      </x:c>
      <x:c r="F1118" s="34" t="n">
        <x:v>5587</x:v>
      </x:c>
      <x:c r="G1118" s="35" t="n">
        <x:f>IF(C1118=0,0,F1118/C1118*B1118)</x:f>
        <x:v>4.469558442435734</x:v>
      </x:c>
    </x:row>
    <x:row r="1119">
      <x:c r="A1119" s="33" t="str">
        <x:v>Contrabandistas</x:v>
      </x:c>
      <x:c r="B1119" s="34" t="n">
        <x:v>4216</x:v>
      </x:c>
      <x:c r="C1119" s="34" t="n">
        <x:v>5270049</x:v>
      </x:c>
      <x:c r="D1119" s="34" t="n">
        <x:v>104</x:v>
      </x:c>
      <x:c r="E1119" s="34" t="str">
        <x:v>DanyV2</x:v>
      </x:c>
      <x:c r="F1119" s="34" t="n">
        <x:v>5448</x:v>
      </x:c>
      <x:c r="G1119" s="35" t="n">
        <x:f>IF(C1119=0,0,F1119/C1119*B1119)</x:f>
        <x:v>4.358359476354015</x:v>
      </x:c>
    </x:row>
    <x:row r="1120">
      <x:c r="A1120" s="33" t="str">
        <x:v>Contrabandistas</x:v>
      </x:c>
      <x:c r="B1120" s="34" t="n">
        <x:v>4216</x:v>
      </x:c>
      <x:c r="C1120" s="34" t="n">
        <x:v>5270049</x:v>
      </x:c>
      <x:c r="D1120" s="34" t="n">
        <x:v>105</x:v>
      </x:c>
      <x:c r="E1120" s="34" t="str">
        <x:v>NamikazePT</x:v>
      </x:c>
      <x:c r="F1120" s="34" t="n">
        <x:v>5428</x:v>
      </x:c>
      <x:c r="G1120" s="35" t="n">
        <x:f>IF(C1120=0,0,F1120/C1120*B1120)</x:f>
        <x:v>4.342359625119235</x:v>
      </x:c>
    </x:row>
    <x:row r="1121">
      <x:c r="A1121" s="33" t="str">
        <x:v>Contrabandistas</x:v>
      </x:c>
      <x:c r="B1121" s="34" t="n">
        <x:v>4216</x:v>
      </x:c>
      <x:c r="C1121" s="34" t="n">
        <x:v>5270049</x:v>
      </x:c>
      <x:c r="D1121" s="34" t="n">
        <x:v>106</x:v>
      </x:c>
      <x:c r="E1121" s="34" t="str">
        <x:v>jackTrip21</x:v>
      </x:c>
      <x:c r="F1121" s="34" t="n">
        <x:v>5065</x:v>
      </x:c>
      <x:c r="G1121" s="35" t="n">
        <x:f>IF(C1121=0,0,F1121/C1121*B1121)</x:f>
        <x:v>4.051962325207982</x:v>
      </x:c>
    </x:row>
    <x:row r="1122">
      <x:c r="A1122" s="33" t="str">
        <x:v>Contrabandistas</x:v>
      </x:c>
      <x:c r="B1122" s="34" t="n">
        <x:v>4216</x:v>
      </x:c>
      <x:c r="C1122" s="34" t="n">
        <x:v>5270049</x:v>
      </x:c>
      <x:c r="D1122" s="34" t="n">
        <x:v>107</x:v>
      </x:c>
      <x:c r="E1122" s="34" t="str">
        <x:v>TheBad</x:v>
      </x:c>
      <x:c r="F1122" s="34" t="n">
        <x:v>4435</x:v>
      </x:c>
      <x:c r="G1122" s="35" t="n">
        <x:f>IF(C1122=0,0,F1122/C1122*B1122)</x:f>
        <x:v>3.5479670113124184</x:v>
      </x:c>
    </x:row>
    <x:row r="1123">
      <x:c r="A1123" s="33" t="str">
        <x:v>Contrabandistas</x:v>
      </x:c>
      <x:c r="B1123" s="34" t="n">
        <x:v>4216</x:v>
      </x:c>
      <x:c r="C1123" s="34" t="n">
        <x:v>5270049</x:v>
      </x:c>
      <x:c r="D1123" s="34" t="n">
        <x:v>108</x:v>
      </x:c>
      <x:c r="E1123" s="34" t="str">
        <x:v>Stresseed</x:v>
      </x:c>
      <x:c r="F1123" s="34" t="n">
        <x:v>4223</x:v>
      </x:c>
      <x:c r="G1123" s="35" t="n">
        <x:f>IF(C1123=0,0,F1123/C1123*B1123)</x:f>
        <x:v>3.378368588223753</x:v>
      </x:c>
    </x:row>
    <x:row r="1124">
      <x:c r="A1124" s="33" t="str">
        <x:v>Contrabandistas</x:v>
      </x:c>
      <x:c r="B1124" s="34" t="n">
        <x:v>4216</x:v>
      </x:c>
      <x:c r="C1124" s="34" t="n">
        <x:v>5270049</x:v>
      </x:c>
      <x:c r="D1124" s="34" t="n">
        <x:v>109</x:v>
      </x:c>
      <x:c r="E1124" s="34" t="str">
        <x:v>nito19</x:v>
      </x:c>
      <x:c r="F1124" s="34" t="n">
        <x:v>3981</x:v>
      </x:c>
      <x:c r="G1124" s="35" t="n">
        <x:f>IF(C1124=0,0,F1124/C1124*B1124)</x:f>
        <x:v>3.1847703882829173</x:v>
      </x:c>
    </x:row>
    <x:row r="1125">
      <x:c r="A1125" s="33" t="str">
        <x:v>Contrabandistas</x:v>
      </x:c>
      <x:c r="B1125" s="34" t="n">
        <x:v>4216</x:v>
      </x:c>
      <x:c r="C1125" s="34" t="n">
        <x:v>5270049</x:v>
      </x:c>
      <x:c r="D1125" s="34" t="n">
        <x:v>110</x:v>
      </x:c>
      <x:c r="E1125" s="34" t="str">
        <x:v>2PowerGiat</x:v>
      </x:c>
      <x:c r="F1125" s="34" t="n">
        <x:v>3831</x:v>
      </x:c>
      <x:c r="G1125" s="35" t="n">
        <x:f>IF(C1125=0,0,F1125/C1125*B1125)</x:f>
        <x:v>3.064771504022069</x:v>
      </x:c>
    </x:row>
    <x:row r="1126">
      <x:c r="A1126" s="33" t="str">
        <x:v>Contrabandistas</x:v>
      </x:c>
      <x:c r="B1126" s="34" t="n">
        <x:v>4216</x:v>
      </x:c>
      <x:c r="C1126" s="34" t="n">
        <x:v>5270049</x:v>
      </x:c>
      <x:c r="D1126" s="34" t="n">
        <x:v>111</x:v>
      </x:c>
      <x:c r="E1126" s="34" t="str">
        <x:v>Bijior</x:v>
      </x:c>
      <x:c r="F1126" s="34" t="n">
        <x:v>3660</x:v>
      </x:c>
      <x:c r="G1126" s="35" t="n">
        <x:f>IF(C1126=0,0,F1126/C1126*B1126)</x:f>
        <x:v>2.927972775964702</x:v>
      </x:c>
    </x:row>
    <x:row r="1127">
      <x:c r="A1127" s="33" t="str">
        <x:v>Contrabandistas</x:v>
      </x:c>
      <x:c r="B1127" s="34" t="n">
        <x:v>4216</x:v>
      </x:c>
      <x:c r="C1127" s="34" t="n">
        <x:v>5270049</x:v>
      </x:c>
      <x:c r="D1127" s="34" t="n">
        <x:v>112</x:v>
      </x:c>
      <x:c r="E1127" s="34" t="str">
        <x:v>Davllmix</x:v>
      </x:c>
      <x:c r="F1127" s="34" t="n">
        <x:v>3466</x:v>
      </x:c>
      <x:c r="G1127" s="35" t="n">
        <x:f>IF(C1127=0,0,F1127/C1127*B1127)</x:f>
        <x:v>2.7727742189873377</x:v>
      </x:c>
    </x:row>
    <x:row r="1128">
      <x:c r="A1128" s="33" t="str">
        <x:v>Contrabandistas</x:v>
      </x:c>
      <x:c r="B1128" s="34" t="n">
        <x:v>4216</x:v>
      </x:c>
      <x:c r="C1128" s="34" t="n">
        <x:v>5270049</x:v>
      </x:c>
      <x:c r="D1128" s="34" t="n">
        <x:v>113</x:v>
      </x:c>
      <x:c r="E1128" s="34" t="str">
        <x:v>kadigo</x:v>
      </x:c>
      <x:c r="F1128" s="34" t="n">
        <x:v>3026</x:v>
      </x:c>
      <x:c r="G1128" s="35" t="n">
        <x:f>IF(C1128=0,0,F1128/C1128*B1128)</x:f>
        <x:v>2.4207774918221823</x:v>
      </x:c>
    </x:row>
    <x:row r="1129">
      <x:c r="A1129" s="33" t="str">
        <x:v>Contrabandistas</x:v>
      </x:c>
      <x:c r="B1129" s="34" t="n">
        <x:v>4216</x:v>
      </x:c>
      <x:c r="C1129" s="34" t="n">
        <x:v>5270049</x:v>
      </x:c>
      <x:c r="D1129" s="34" t="n">
        <x:v>114</x:v>
      </x:c>
      <x:c r="E1129" s="34" t="str">
        <x:v>gusta23</x:v>
      </x:c>
      <x:c r="F1129" s="34" t="n">
        <x:v>3021</x:v>
      </x:c>
      <x:c r="G1129" s="35" t="n">
        <x:f>IF(C1129=0,0,F1129/C1129*B1129)</x:f>
        <x:v>2.4167775290134874</x:v>
      </x:c>
    </x:row>
    <x:row r="1130">
      <x:c r="A1130" s="33" t="str">
        <x:v>Contrabandistas</x:v>
      </x:c>
      <x:c r="B1130" s="34" t="n">
        <x:v>4216</x:v>
      </x:c>
      <x:c r="C1130" s="34" t="n">
        <x:v>5270049</x:v>
      </x:c>
      <x:c r="D1130" s="34" t="n">
        <x:v>115</x:v>
      </x:c>
      <x:c r="E1130" s="34" t="str">
        <x:v>xXFate</x:v>
      </x:c>
      <x:c r="F1130" s="34" t="n">
        <x:v>3005</x:v>
      </x:c>
      <x:c r="G1130" s="35" t="n">
        <x:f>IF(C1130=0,0,F1130/C1130*B1130)</x:f>
        <x:v>2.4039776480256636</x:v>
      </x:c>
    </x:row>
    <x:row r="1131">
      <x:c r="A1131" s="33" t="str">
        <x:v>Contrabandistas</x:v>
      </x:c>
      <x:c r="B1131" s="34" t="n">
        <x:v>4216</x:v>
      </x:c>
      <x:c r="C1131" s="34" t="n">
        <x:v>5270049</x:v>
      </x:c>
      <x:c r="D1131" s="34" t="n">
        <x:v>116</x:v>
      </x:c>
      <x:c r="E1131" s="34" t="str">
        <x:v>Porquitchona</x:v>
      </x:c>
      <x:c r="F1131" s="34" t="n">
        <x:v>2963</x:v>
      </x:c>
      <x:c r="G1131" s="35" t="n">
        <x:f>IF(C1131=0,0,F1131/C1131*B1131)</x:f>
        <x:v>2.370377960432626</x:v>
      </x:c>
    </x:row>
    <x:row r="1132">
      <x:c r="A1132" s="33" t="str">
        <x:v>Contrabandistas</x:v>
      </x:c>
      <x:c r="B1132" s="34" t="n">
        <x:v>4216</x:v>
      </x:c>
      <x:c r="C1132" s="34" t="n">
        <x:v>5270049</x:v>
      </x:c>
      <x:c r="D1132" s="34" t="n">
        <x:v>117</x:v>
      </x:c>
      <x:c r="E1132" s="34" t="str">
        <x:v>FullTime</x:v>
      </x:c>
      <x:c r="F1132" s="34" t="n">
        <x:v>2963</x:v>
      </x:c>
      <x:c r="G1132" s="35" t="n">
        <x:f>IF(C1132=0,0,F1132/C1132*B1132)</x:f>
        <x:v>2.370377960432626</x:v>
      </x:c>
    </x:row>
    <x:row r="1133">
      <x:c r="A1133" s="33" t="str">
        <x:v>Contrabandistas</x:v>
      </x:c>
      <x:c r="B1133" s="34" t="n">
        <x:v>4216</x:v>
      </x:c>
      <x:c r="C1133" s="34" t="n">
        <x:v>5270049</x:v>
      </x:c>
      <x:c r="D1133" s="34" t="n">
        <x:v>118</x:v>
      </x:c>
      <x:c r="E1133" s="34" t="str">
        <x:v>EBMonarca</x:v>
      </x:c>
      <x:c r="F1133" s="34" t="n">
        <x:v>2924</x:v>
      </x:c>
      <x:c r="G1133" s="35" t="n">
        <x:f>IF(C1133=0,0,F1133/C1133*B1133)</x:f>
        <x:v>2.3391782505248053</x:v>
      </x:c>
    </x:row>
    <x:row r="1134">
      <x:c r="A1134" s="33" t="str">
        <x:v>Contrabandistas</x:v>
      </x:c>
      <x:c r="B1134" s="34" t="n">
        <x:v>4216</x:v>
      </x:c>
      <x:c r="C1134" s="34" t="n">
        <x:v>5270049</x:v>
      </x:c>
      <x:c r="D1134" s="34" t="n">
        <x:v>119</x:v>
      </x:c>
      <x:c r="E1134" s="34" t="str">
        <x:v>Tuga95</x:v>
      </x:c>
      <x:c r="F1134" s="34" t="n">
        <x:v>2630</x:v>
      </x:c>
      <x:c r="G1134" s="35" t="n">
        <x:f>IF(C1134=0,0,F1134/C1134*B1134)</x:f>
        <x:v>2.1039804373735422</x:v>
      </x:c>
    </x:row>
    <x:row r="1135">
      <x:c r="A1135" s="33" t="str">
        <x:v>Contrabandistas</x:v>
      </x:c>
      <x:c r="B1135" s="34" t="n">
        <x:v>4216</x:v>
      </x:c>
      <x:c r="C1135" s="34" t="n">
        <x:v>5270049</x:v>
      </x:c>
      <x:c r="D1135" s="34" t="n">
        <x:v>120</x:v>
      </x:c>
      <x:c r="E1135" s="34" t="str">
        <x:v>Sracriola</x:v>
      </x:c>
      <x:c r="F1135" s="34" t="n">
        <x:v>2502</x:v>
      </x:c>
      <x:c r="G1135" s="35" t="n">
        <x:f>IF(C1135=0,0,F1135/C1135*B1135)</x:f>
        <x:v>2.0015813894709518</x:v>
      </x:c>
    </x:row>
    <x:row r="1136">
      <x:c r="A1136" s="33" t="str">
        <x:v>Contrabandistas</x:v>
      </x:c>
      <x:c r="B1136" s="34" t="n">
        <x:v>4216</x:v>
      </x:c>
      <x:c r="C1136" s="34" t="n">
        <x:v>5270049</x:v>
      </x:c>
      <x:c r="D1136" s="34" t="n">
        <x:v>121</x:v>
      </x:c>
      <x:c r="E1136" s="34" t="str">
        <x:v>dudugamexd43</x:v>
      </x:c>
      <x:c r="F1136" s="34" t="n">
        <x:v>2492</x:v>
      </x:c>
      <x:c r="G1136" s="35" t="n">
        <x:f>IF(C1136=0,0,F1136/C1136*B1136)</x:f>
        <x:v>1.9935814638535618</x:v>
      </x:c>
    </x:row>
    <x:row r="1137">
      <x:c r="A1137" s="33" t="str">
        <x:v>Contrabandistas</x:v>
      </x:c>
      <x:c r="B1137" s="34" t="n">
        <x:v>4216</x:v>
      </x:c>
      <x:c r="C1137" s="34" t="n">
        <x:v>5270049</x:v>
      </x:c>
      <x:c r="D1137" s="34" t="n">
        <x:v>122</x:v>
      </x:c>
      <x:c r="E1137" s="34" t="str">
        <x:v>Kuntakint</x:v>
      </x:c>
      <x:c r="F1137" s="34" t="n">
        <x:v>2368</x:v>
      </x:c>
      <x:c r="G1137" s="35" t="n">
        <x:f>IF(C1137=0,0,F1137/C1137*B1137)</x:f>
        <x:v>1.8943823861979272</x:v>
      </x:c>
    </x:row>
    <x:row r="1138">
      <x:c r="A1138" s="33" t="str">
        <x:v>Contrabandistas</x:v>
      </x:c>
      <x:c r="B1138" s="34" t="n">
        <x:v>4216</x:v>
      </x:c>
      <x:c r="C1138" s="34" t="n">
        <x:v>5270049</x:v>
      </x:c>
      <x:c r="D1138" s="34" t="n">
        <x:v>123</x:v>
      </x:c>
      <x:c r="E1138" s="34" t="str">
        <x:v>ISpellNotFound</x:v>
      </x:c>
      <x:c r="F1138" s="34" t="n">
        <x:v>2285</x:v>
      </x:c>
      <x:c r="G1138" s="35" t="n">
        <x:f>IF(C1138=0,0,F1138/C1138*B1138)</x:f>
        <x:v>1.8279830035735911</x:v>
      </x:c>
    </x:row>
    <x:row r="1139">
      <x:c r="A1139" s="33" t="str">
        <x:v>Contrabandistas</x:v>
      </x:c>
      <x:c r="B1139" s="34" t="n">
        <x:v>4216</x:v>
      </x:c>
      <x:c r="C1139" s="34" t="n">
        <x:v>5270049</x:v>
      </x:c>
      <x:c r="D1139" s="34" t="n">
        <x:v>124</x:v>
      </x:c>
      <x:c r="E1139" s="34" t="str">
        <x:v>habibino</x:v>
      </x:c>
      <x:c r="F1139" s="34" t="n">
        <x:v>2254</x:v>
      </x:c>
      <x:c r="G1139" s="35" t="n">
        <x:f>IF(C1139=0,0,F1139/C1139*B1139)</x:f>
        <x:v>1.8031832341596825</x:v>
      </x:c>
    </x:row>
    <x:row r="1140">
      <x:c r="A1140" s="33" t="str">
        <x:v>Contrabandistas</x:v>
      </x:c>
      <x:c r="B1140" s="34" t="n">
        <x:v>4216</x:v>
      </x:c>
      <x:c r="C1140" s="34" t="n">
        <x:v>5270049</x:v>
      </x:c>
      <x:c r="D1140" s="34" t="n">
        <x:v>125</x:v>
      </x:c>
      <x:c r="E1140" s="34" t="str">
        <x:v>Hlinha</x:v>
      </x:c>
      <x:c r="F1140" s="34" t="n">
        <x:v>2219</x:v>
      </x:c>
      <x:c r="G1140" s="35" t="n">
        <x:f>IF(C1140=0,0,F1140/C1140*B1140)</x:f>
        <x:v>1.7751834944988176</x:v>
      </x:c>
    </x:row>
    <x:row r="1141">
      <x:c r="A1141" s="33" t="str">
        <x:v>Contrabandistas</x:v>
      </x:c>
      <x:c r="B1141" s="34" t="n">
        <x:v>4216</x:v>
      </x:c>
      <x:c r="C1141" s="34" t="n">
        <x:v>5270049</x:v>
      </x:c>
      <x:c r="D1141" s="34" t="n">
        <x:v>126</x:v>
      </x:c>
      <x:c r="E1141" s="34" t="str">
        <x:v>JoxPT</x:v>
      </x:c>
      <x:c r="F1141" s="34" t="n">
        <x:v>1770</x:v>
      </x:c>
      <x:c r="G1141" s="35" t="n">
        <x:f>IF(C1141=0,0,F1141/C1141*B1141)</x:f>
        <x:v>1.4159868342780115</x:v>
      </x:c>
    </x:row>
    <x:row r="1142">
      <x:c r="A1142" s="33" t="str">
        <x:v>Contrabandistas</x:v>
      </x:c>
      <x:c r="B1142" s="34" t="n">
        <x:v>4216</x:v>
      </x:c>
      <x:c r="C1142" s="34" t="n">
        <x:v>5270049</x:v>
      </x:c>
      <x:c r="D1142" s="34" t="n">
        <x:v>127</x:v>
      </x:c>
      <x:c r="E1142" s="34" t="str">
        <x:v>Zicadas</x:v>
      </x:c>
      <x:c r="F1142" s="34" t="n">
        <x:v>1753</x:v>
      </x:c>
      <x:c r="G1142" s="35" t="n">
        <x:f>IF(C1142=0,0,F1142/C1142*B1142)</x:f>
        <x:v>1.4023869607284485</x:v>
      </x:c>
    </x:row>
    <x:row r="1143">
      <x:c r="A1143" s="33" t="str">
        <x:v>Contrabandistas</x:v>
      </x:c>
      <x:c r="B1143" s="34" t="n">
        <x:v>4216</x:v>
      </x:c>
      <x:c r="C1143" s="34" t="n">
        <x:v>5270049</x:v>
      </x:c>
      <x:c r="D1143" s="34" t="n">
        <x:v>128</x:v>
      </x:c>
      <x:c r="E1143" s="34" t="str">
        <x:v>Sonjigolo</x:v>
      </x:c>
      <x:c r="F1143" s="34" t="n">
        <x:v>1607</x:v>
      </x:c>
      <x:c r="G1143" s="35" t="n">
        <x:f>IF(C1143=0,0,F1143/C1143*B1143)</x:f>
        <x:v>1.2855880467145562</x:v>
      </x:c>
    </x:row>
    <x:row r="1144">
      <x:c r="A1144" s="33" t="str">
        <x:v>Contrabandistas</x:v>
      </x:c>
      <x:c r="B1144" s="34" t="n">
        <x:v>4216</x:v>
      </x:c>
      <x:c r="C1144" s="34" t="n">
        <x:v>5270049</x:v>
      </x:c>
      <x:c r="D1144" s="34" t="n">
        <x:v>129</x:v>
      </x:c>
      <x:c r="E1144" s="34" t="str">
        <x:v>Spotk</x:v>
      </x:c>
      <x:c r="F1144" s="34" t="n">
        <x:v>1542</x:v>
      </x:c>
      <x:c r="G1144" s="35" t="n">
        <x:f>IF(C1144=0,0,F1144/C1144*B1144)</x:f>
        <x:v>1.2335885302015217</x:v>
      </x:c>
    </x:row>
    <x:row r="1145">
      <x:c r="A1145" s="33" t="str">
        <x:v>Contrabandistas</x:v>
      </x:c>
      <x:c r="B1145" s="34" t="n">
        <x:v>4216</x:v>
      </x:c>
      <x:c r="C1145" s="34" t="n">
        <x:v>5270049</x:v>
      </x:c>
      <x:c r="D1145" s="34" t="n">
        <x:v>130</x:v>
      </x:c>
      <x:c r="E1145" s="34" t="str">
        <x:v>Chuckzerah</x:v>
      </x:c>
      <x:c r="F1145" s="34" t="n">
        <x:v>1431</x:v>
      </x:c>
      <x:c r="G1145" s="35" t="n">
        <x:f>IF(C1145=0,0,F1145/C1145*B1145)</x:f>
        <x:v>1.144789355848494</x:v>
      </x:c>
    </x:row>
    <x:row r="1146">
      <x:c r="A1146" s="33" t="str">
        <x:v>Contrabandistas</x:v>
      </x:c>
      <x:c r="B1146" s="34" t="n">
        <x:v>4216</x:v>
      </x:c>
      <x:c r="C1146" s="34" t="n">
        <x:v>5270049</x:v>
      </x:c>
      <x:c r="D1146" s="34" t="n">
        <x:v>131</x:v>
      </x:c>
      <x:c r="E1146" s="34" t="str">
        <x:v>Horsix</x:v>
      </x:c>
      <x:c r="F1146" s="34" t="n">
        <x:v>1421</x:v>
      </x:c>
      <x:c r="G1146" s="35" t="n">
        <x:f>IF(C1146=0,0,F1146/C1146*B1146)</x:f>
        <x:v>1.1367894302311041</x:v>
      </x:c>
    </x:row>
    <x:row r="1147">
      <x:c r="A1147" s="33" t="str">
        <x:v>Contrabandistas</x:v>
      </x:c>
      <x:c r="B1147" s="34" t="n">
        <x:v>4216</x:v>
      </x:c>
      <x:c r="C1147" s="34" t="n">
        <x:v>5270049</x:v>
      </x:c>
      <x:c r="D1147" s="34" t="n">
        <x:v>132</x:v>
      </x:c>
      <x:c r="E1147" s="34" t="str">
        <x:v>ToastT</x:v>
      </x:c>
      <x:c r="F1147" s="34" t="n">
        <x:v>1371</x:v>
      </x:c>
      <x:c r="G1147" s="35" t="n">
        <x:f>IF(C1147=0,0,F1147/C1147*B1147)</x:f>
        <x:v>1.0967898021441547</x:v>
      </x:c>
    </x:row>
    <x:row r="1148">
      <x:c r="A1148" s="33" t="str">
        <x:v>Contrabandistas</x:v>
      </x:c>
      <x:c r="B1148" s="34" t="n">
        <x:v>4216</x:v>
      </x:c>
      <x:c r="C1148" s="34" t="n">
        <x:v>5270049</x:v>
      </x:c>
      <x:c r="D1148" s="34" t="n">
        <x:v>133</x:v>
      </x:c>
      <x:c r="E1148" s="34" t="str">
        <x:v>avven1996</x:v>
      </x:c>
      <x:c r="F1148" s="34" t="n">
        <x:v>1215</x:v>
      </x:c>
      <x:c r="G1148" s="35" t="n">
        <x:f>IF(C1148=0,0,F1148/C1148*B1148)</x:f>
        <x:v>0.9719909625128723</x:v>
      </x:c>
    </x:row>
    <x:row r="1149">
      <x:c r="A1149" s="33" t="str">
        <x:v>Contrabandistas</x:v>
      </x:c>
      <x:c r="B1149" s="34" t="n">
        <x:v>4216</x:v>
      </x:c>
      <x:c r="C1149" s="34" t="n">
        <x:v>5270049</x:v>
      </x:c>
      <x:c r="D1149" s="34" t="n">
        <x:v>134</x:v>
      </x:c>
      <x:c r="E1149" s="34" t="str">
        <x:v>LuiziN</x:v>
      </x:c>
      <x:c r="F1149" s="34" t="n">
        <x:v>1132</x:v>
      </x:c>
      <x:c r="G1149" s="35" t="n">
        <x:f>IF(C1149=0,0,F1149/C1149*B1149)</x:f>
        <x:v>0.9055915798885361</x:v>
      </x:c>
    </x:row>
    <x:row r="1150">
      <x:c r="A1150" s="33" t="str">
        <x:v>Contrabandistas</x:v>
      </x:c>
      <x:c r="B1150" s="34" t="n">
        <x:v>4216</x:v>
      </x:c>
      <x:c r="C1150" s="34" t="n">
        <x:v>5270049</x:v>
      </x:c>
      <x:c r="D1150" s="34" t="n">
        <x:v>135</x:v>
      </x:c>
      <x:c r="E1150" s="34" t="str">
        <x:v>RobertXVII</x:v>
      </x:c>
      <x:c r="F1150" s="34" t="n">
        <x:v>955</x:v>
      </x:c>
      <x:c r="G1150" s="35" t="n">
        <x:f>IF(C1150=0,0,F1150/C1150*B1150)</x:f>
        <x:v>0.763992896460735</x:v>
      </x:c>
    </x:row>
    <x:row r="1151">
      <x:c r="A1151" s="33" t="str">
        <x:v>Contrabandistas</x:v>
      </x:c>
      <x:c r="B1151" s="34" t="n">
        <x:v>4216</x:v>
      </x:c>
      <x:c r="C1151" s="34" t="n">
        <x:v>5270049</x:v>
      </x:c>
      <x:c r="D1151" s="34" t="n">
        <x:v>136</x:v>
      </x:c>
      <x:c r="E1151" s="34" t="str">
        <x:v>Ruizao</x:v>
      </x:c>
      <x:c r="F1151" s="34" t="n">
        <x:v>877</x:v>
      </x:c>
      <x:c r="G1151" s="35" t="n">
        <x:f>IF(C1151=0,0,F1151/C1151*B1151)</x:f>
        <x:v>0.7015934766450937</x:v>
      </x:c>
    </x:row>
    <x:row r="1152">
      <x:c r="A1152" s="33" t="str">
        <x:v>Contrabandistas</x:v>
      </x:c>
      <x:c r="B1152" s="34" t="n">
        <x:v>4216</x:v>
      </x:c>
      <x:c r="C1152" s="34" t="n">
        <x:v>5270049</x:v>
      </x:c>
      <x:c r="D1152" s="34" t="n">
        <x:v>137</x:v>
      </x:c>
      <x:c r="E1152" s="34" t="str">
        <x:v>julszthaone</x:v>
      </x:c>
      <x:c r="F1152" s="34" t="n">
        <x:v>877</x:v>
      </x:c>
      <x:c r="G1152" s="35" t="n">
        <x:f>IF(C1152=0,0,F1152/C1152*B1152)</x:f>
        <x:v>0.7015934766450937</x:v>
      </x:c>
    </x:row>
    <x:row r="1153">
      <x:c r="A1153" s="33" t="str">
        <x:v>Contrabandistas</x:v>
      </x:c>
      <x:c r="B1153" s="34" t="n">
        <x:v>4216</x:v>
      </x:c>
      <x:c r="C1153" s="34" t="n">
        <x:v>5270049</x:v>
      </x:c>
      <x:c r="D1153" s="34" t="n">
        <x:v>138</x:v>
      </x:c>
      <x:c r="E1153" s="34" t="str">
        <x:v>OWERLORI123</x:v>
      </x:c>
      <x:c r="F1153" s="34" t="n">
        <x:v>814</x:v>
      </x:c>
      <x:c r="G1153" s="35" t="n">
        <x:f>IF(C1153=0,0,F1153/C1153*B1153)</x:f>
        <x:v>0.6511939452555375</x:v>
      </x:c>
    </x:row>
    <x:row r="1154">
      <x:c r="A1154" s="33" t="str">
        <x:v>Contrabandistas</x:v>
      </x:c>
      <x:c r="B1154" s="34" t="n">
        <x:v>4216</x:v>
      </x:c>
      <x:c r="C1154" s="34" t="n">
        <x:v>5270049</x:v>
      </x:c>
      <x:c r="D1154" s="34" t="n">
        <x:v>139</x:v>
      </x:c>
      <x:c r="E1154" s="34" t="str">
        <x:v>JORJAO</x:v>
      </x:c>
      <x:c r="F1154" s="34" t="n">
        <x:v>758</x:v>
      </x:c>
      <x:c r="G1154" s="35" t="n">
        <x:f>IF(C1154=0,0,F1154/C1154*B1154)</x:f>
        <x:v>0.606394361798154</x:v>
      </x:c>
    </x:row>
    <x:row r="1155">
      <x:c r="A1155" s="33" t="str">
        <x:v>Contrabandistas</x:v>
      </x:c>
      <x:c r="B1155" s="34" t="n">
        <x:v>4216</x:v>
      </x:c>
      <x:c r="C1155" s="34" t="n">
        <x:v>5270049</x:v>
      </x:c>
      <x:c r="D1155" s="34" t="n">
        <x:v>140</x:v>
      </x:c>
      <x:c r="E1155" s="34" t="str">
        <x:v>zNeii</x:v>
      </x:c>
      <x:c r="F1155" s="34" t="n">
        <x:v>751</x:v>
      </x:c>
      <x:c r="G1155" s="35" t="n">
        <x:f>IF(C1155=0,0,F1155/C1155*B1155)</x:f>
        <x:v>0.6007944138659811</x:v>
      </x:c>
    </x:row>
    <x:row r="1156">
      <x:c r="A1156" s="33" t="str">
        <x:v>Contrabandistas</x:v>
      </x:c>
      <x:c r="B1156" s="34" t="n">
        <x:v>4216</x:v>
      </x:c>
      <x:c r="C1156" s="34" t="n">
        <x:v>5270049</x:v>
      </x:c>
      <x:c r="D1156" s="34" t="n">
        <x:v>141</x:v>
      </x:c>
      <x:c r="E1156" s="34" t="str">
        <x:v>SuSex</x:v>
      </x:c>
      <x:c r="F1156" s="34" t="n">
        <x:v>751</x:v>
      </x:c>
      <x:c r="G1156" s="35" t="n">
        <x:f>IF(C1156=0,0,F1156/C1156*B1156)</x:f>
        <x:v>0.6007944138659811</x:v>
      </x:c>
    </x:row>
    <x:row r="1157">
      <x:c r="A1157" s="33" t="str">
        <x:v>Contrabandistas</x:v>
      </x:c>
      <x:c r="B1157" s="34" t="n">
        <x:v>4216</x:v>
      </x:c>
      <x:c r="C1157" s="34" t="n">
        <x:v>5270049</x:v>
      </x:c>
      <x:c r="D1157" s="34" t="n">
        <x:v>142</x:v>
      </x:c>
      <x:c r="E1157" s="34" t="str">
        <x:v>MaCiRoSKi</x:v>
      </x:c>
      <x:c r="F1157" s="34" t="n">
        <x:v>731</x:v>
      </x:c>
      <x:c r="G1157" s="35" t="n">
        <x:f>IF(C1157=0,0,F1157/C1157*B1157)</x:f>
        <x:v>0.5847945626312013</x:v>
      </x:c>
    </x:row>
    <x:row r="1158">
      <x:c r="A1158" s="33" t="str">
        <x:v>Contrabandistas</x:v>
      </x:c>
      <x:c r="B1158" s="34" t="n">
        <x:v>4216</x:v>
      </x:c>
      <x:c r="C1158" s="34" t="n">
        <x:v>5270049</x:v>
      </x:c>
      <x:c r="D1158" s="34" t="n">
        <x:v>143</x:v>
      </x:c>
      <x:c r="E1158" s="34" t="str">
        <x:v>tfmPuniSHEr</x:v>
      </x:c>
      <x:c r="F1158" s="34" t="n">
        <x:v>731</x:v>
      </x:c>
      <x:c r="G1158" s="35" t="n">
        <x:f>IF(C1158=0,0,F1158/C1158*B1158)</x:f>
        <x:v>0.5847945626312013</x:v>
      </x:c>
    </x:row>
    <x:row r="1159">
      <x:c r="A1159" s="33" t="str">
        <x:v>Contrabandistas</x:v>
      </x:c>
      <x:c r="B1159" s="34" t="n">
        <x:v>4216</x:v>
      </x:c>
      <x:c r="C1159" s="34" t="n">
        <x:v>5270049</x:v>
      </x:c>
      <x:c r="D1159" s="34" t="n">
        <x:v>144</x:v>
      </x:c>
      <x:c r="E1159" s="34" t="str">
        <x:v>JJWAR</x:v>
      </x:c>
      <x:c r="F1159" s="34" t="n">
        <x:v>620</x:v>
      </x:c>
      <x:c r="G1159" s="35" t="n">
        <x:f>IF(C1159=0,0,F1159/C1159*B1159)</x:f>
        <x:v>0.4959953882781735</x:v>
      </x:c>
    </x:row>
    <x:row r="1160">
      <x:c r="A1160" s="33" t="str">
        <x:v>Contrabandistas</x:v>
      </x:c>
      <x:c r="B1160" s="34" t="n">
        <x:v>4216</x:v>
      </x:c>
      <x:c r="C1160" s="34" t="n">
        <x:v>5270049</x:v>
      </x:c>
      <x:c r="D1160" s="34" t="n">
        <x:v>145</x:v>
      </x:c>
      <x:c r="E1160" s="34" t="str">
        <x:v>MRBrutu</x:v>
      </x:c>
      <x:c r="F1160" s="34" t="n">
        <x:v>438</x:v>
      </x:c>
      <x:c r="G1160" s="35" t="n">
        <x:f>IF(C1160=0,0,F1160/C1160*B1160)</x:f>
        <x:v>0.3503967420416774</x:v>
      </x:c>
    </x:row>
    <x:row r="1161">
      <x:c r="A1161" s="33" t="str">
        <x:v>Contrabandistas</x:v>
      </x:c>
      <x:c r="B1161" s="34" t="n">
        <x:v>4216</x:v>
      </x:c>
      <x:c r="C1161" s="34" t="n">
        <x:v>5270049</x:v>
      </x:c>
      <x:c r="D1161" s="34" t="n">
        <x:v>146</x:v>
      </x:c>
      <x:c r="E1161" s="34" t="str">
        <x:v>executador</x:v>
      </x:c>
      <x:c r="F1161" s="34" t="n">
        <x:v>346</x:v>
      </x:c>
      <x:c r="G1161" s="35" t="n">
        <x:f>IF(C1161=0,0,F1161/C1161*B1161)</x:f>
        <x:v>0.27679742636169036</x:v>
      </x:c>
    </x:row>
    <x:row r="1162">
      <x:c r="A1162" s="33" t="str">
        <x:v>Contrabandistas</x:v>
      </x:c>
      <x:c r="B1162" s="34" t="n">
        <x:v>4216</x:v>
      </x:c>
      <x:c r="C1162" s="34" t="n">
        <x:v>5270049</x:v>
      </x:c>
      <x:c r="D1162" s="34" t="n">
        <x:v>147</x:v>
      </x:c>
      <x:c r="E1162" s="34" t="str">
        <x:v>Warm4m</x:v>
      </x:c>
      <x:c r="F1162" s="34" t="n">
        <x:v>267</x:v>
      </x:c>
      <x:c r="G1162" s="35" t="n">
        <x:f>IF(C1162=0,0,F1162/C1162*B1162)</x:f>
        <x:v>0.21359801398431022</x:v>
      </x:c>
    </x:row>
    <x:row r="1163">
      <x:c r="A1163" s="33" t="str">
        <x:v>Contrabandistas</x:v>
      </x:c>
      <x:c r="B1163" s="34" t="n">
        <x:v>4216</x:v>
      </x:c>
      <x:c r="C1163" s="34" t="n">
        <x:v>5270049</x:v>
      </x:c>
      <x:c r="D1163" s="34" t="n">
        <x:v>148</x:v>
      </x:c>
      <x:c r="E1163" s="34" t="str">
        <x:v>Margitomen</x:v>
      </x:c>
      <x:c r="F1163" s="34" t="n">
        <x:v>250</x:v>
      </x:c>
      <x:c r="G1163" s="35" t="n">
        <x:f>IF(C1163=0,0,F1163/C1163*B1163)</x:f>
        <x:v>0.1999981404347474</x:v>
      </x:c>
    </x:row>
    <x:row r="1164">
      <x:c r="A1164" s="33" t="str">
        <x:v>Contrabandistas</x:v>
      </x:c>
      <x:c r="B1164" s="34" t="n">
        <x:v>4216</x:v>
      </x:c>
      <x:c r="C1164" s="34" t="n">
        <x:v>5270049</x:v>
      </x:c>
      <x:c r="D1164" s="34" t="n">
        <x:v>149</x:v>
      </x:c>
      <x:c r="E1164" s="34" t="str">
        <x:v>BWCTuga</x:v>
      </x:c>
      <x:c r="F1164" s="34" t="n">
        <x:v>217</x:v>
      </x:c>
      <x:c r="G1164" s="35" t="n">
        <x:f>IF(C1164=0,0,F1164/C1164*B1164)</x:f>
        <x:v>0.17359838589736074</x:v>
      </x:c>
    </x:row>
    <x:row r="1165">
      <x:c r="A1165" s="33" t="str">
        <x:v>Contrabandistas</x:v>
      </x:c>
      <x:c r="B1165" s="34" t="n">
        <x:v>4216</x:v>
      </x:c>
      <x:c r="C1165" s="34" t="n">
        <x:v>5270049</x:v>
      </x:c>
      <x:c r="D1165" s="34" t="n">
        <x:v>150</x:v>
      </x:c>
      <x:c r="E1165" s="34" t="str">
        <x:v>Bigodediarame</x:v>
      </x:c>
      <x:c r="F1165" s="34" t="n">
        <x:v>115</x:v>
      </x:c>
      <x:c r="G1165" s="35" t="n">
        <x:f>IF(C1165=0,0,F1165/C1165*B1165)</x:f>
        <x:v>0.09199914459998379</x:v>
      </x:c>
    </x:row>
    <x:row r="1166">
      <x:c r="A1166" s="33" t="str">
        <x:v>Contrabandistas</x:v>
      </x:c>
      <x:c r="B1166" s="34" t="n">
        <x:v>4216</x:v>
      </x:c>
      <x:c r="C1166" s="34" t="n">
        <x:v>5270049</x:v>
      </x:c>
      <x:c r="D1166" s="34" t="n">
        <x:v>151</x:v>
      </x:c>
      <x:c r="E1166" s="34" t="str">
        <x:v>Merus</x:v>
      </x:c>
      <x:c r="F1166" s="34" t="n">
        <x:v>68</x:v>
      </x:c>
      <x:c r="G1166" s="35" t="n">
        <x:f>IF(C1166=0,0,F1166/C1166*B1166)</x:f>
        <x:v>0.05439949419825129</x:v>
      </x:c>
    </x:row>
    <x:row r="1167">
      <x:c r="A1167" s="33" t="str">
        <x:v>Contrabandistas</x:v>
      </x:c>
      <x:c r="B1167" s="34" t="n">
        <x:v>4216</x:v>
      </x:c>
      <x:c r="C1167" s="34" t="n">
        <x:v>5270049</x:v>
      </x:c>
      <x:c r="D1167" s="34" t="n">
        <x:v>152</x:v>
      </x:c>
      <x:c r="E1167" s="34" t="str">
        <x:v>WillHue</x:v>
      </x:c>
      <x:c r="F1167" s="34" t="n">
        <x:v>58</x:v>
      </x:c>
      <x:c r="G1167" s="35" t="n">
        <x:f>IF(C1167=0,0,F1167/C1167*B1167)</x:f>
        <x:v>0.046399568580861396</x:v>
      </x:c>
    </x:row>
    <x:row r="1168">
      <x:c r="A1168" s="33" t="str">
        <x:v>Hellgates</x:v>
      </x:c>
      <x:c r="B1168" s="34" t="n">
        <x:v>800</x:v>
      </x:c>
      <x:c r="C1168" s="34" t="n">
        <x:v>55285</x:v>
      </x:c>
      <x:c r="D1168" s="34" t="n">
        <x:v>1</x:v>
      </x:c>
      <x:c r="E1168" s="34" t="str">
        <x:v>Dorfiuses</x:v>
      </x:c>
      <x:c r="F1168" s="34" t="n">
        <x:v>8843</x:v>
      </x:c>
      <x:c r="G1168" s="35" t="n">
        <x:f>IF(C1168=0,0,F1168/C1168*B1168)</x:f>
        <x:v>127.96237677489373</x:v>
      </x:c>
    </x:row>
    <x:row r="1169">
      <x:c r="A1169" s="33" t="str">
        <x:v>Hellgates</x:v>
      </x:c>
      <x:c r="B1169" s="34" t="n">
        <x:v>800</x:v>
      </x:c>
      <x:c r="C1169" s="34" t="n">
        <x:v>55285</x:v>
      </x:c>
      <x:c r="D1169" s="34" t="n">
        <x:v>2</x:v>
      </x:c>
      <x:c r="E1169" s="34" t="str">
        <x:v>RobertXVII</x:v>
      </x:c>
      <x:c r="F1169" s="34" t="n">
        <x:v>8194</x:v>
      </x:c>
      <x:c r="G1169" s="35" t="n">
        <x:f>IF(C1169=0,0,F1169/C1169*B1169)</x:f>
        <x:v>118.57104096952158</x:v>
      </x:c>
    </x:row>
    <x:row r="1170">
      <x:c r="A1170" s="33" t="str">
        <x:v>Hellgates</x:v>
      </x:c>
      <x:c r="B1170" s="34" t="n">
        <x:v>800</x:v>
      </x:c>
      <x:c r="C1170" s="34" t="n">
        <x:v>55285</x:v>
      </x:c>
      <x:c r="D1170" s="34" t="n">
        <x:v>3</x:v>
      </x:c>
      <x:c r="E1170" s="34" t="str">
        <x:v>NamikazePT</x:v>
      </x:c>
      <x:c r="F1170" s="34" t="n">
        <x:v>5194</x:v>
      </x:c>
      <x:c r="G1170" s="35" t="n">
        <x:f>IF(C1170=0,0,F1170/C1170*B1170)</x:f>
        <x:v>75.15962738536673</x:v>
      </x:c>
    </x:row>
    <x:row r="1171">
      <x:c r="A1171" s="33" t="str">
        <x:v>Hellgates</x:v>
      </x:c>
      <x:c r="B1171" s="34" t="n">
        <x:v>800</x:v>
      </x:c>
      <x:c r="C1171" s="34" t="n">
        <x:v>55285</x:v>
      </x:c>
      <x:c r="D1171" s="34" t="n">
        <x:v>4</x:v>
      </x:c>
      <x:c r="E1171" s="34" t="str">
        <x:v>SuSex</x:v>
      </x:c>
      <x:c r="F1171" s="34" t="n">
        <x:v>4545</x:v>
      </x:c>
      <x:c r="G1171" s="35" t="n">
        <x:f>IF(C1171=0,0,F1171/C1171*B1171)</x:f>
        <x:v>65.76829157999458</x:v>
      </x:c>
    </x:row>
    <x:row r="1172">
      <x:c r="A1172" s="33" t="str">
        <x:v>Hellgates</x:v>
      </x:c>
      <x:c r="B1172" s="34" t="n">
        <x:v>800</x:v>
      </x:c>
      <x:c r="C1172" s="34" t="n">
        <x:v>55285</x:v>
      </x:c>
      <x:c r="D1172" s="34" t="n">
        <x:v>5</x:v>
      </x:c>
      <x:c r="E1172" s="34" t="str">
        <x:v>IPPON</x:v>
      </x:c>
      <x:c r="F1172" s="34" t="n">
        <x:v>4020</x:v>
      </x:c>
      <x:c r="G1172" s="35" t="n">
        <x:f>IF(C1172=0,0,F1172/C1172*B1172)</x:f>
        <x:v>58.17129420276748</x:v>
      </x:c>
    </x:row>
    <x:row r="1173">
      <x:c r="A1173" s="33" t="str">
        <x:v>Hellgates</x:v>
      </x:c>
      <x:c r="B1173" s="34" t="n">
        <x:v>800</x:v>
      </x:c>
      <x:c r="C1173" s="34" t="n">
        <x:v>55285</x:v>
      </x:c>
      <x:c r="D1173" s="34" t="n">
        <x:v>6</x:v>
      </x:c>
      <x:c r="E1173" s="34" t="str">
        <x:v>VnfaTI</x:v>
      </x:c>
      <x:c r="F1173" s="34" t="n">
        <x:v>3618</x:v>
      </x:c>
      <x:c r="G1173" s="35" t="n">
        <x:f>IF(C1173=0,0,F1173/C1173*B1173)</x:f>
        <x:v>52.35416478249073</x:v>
      </x:c>
    </x:row>
    <x:row r="1174">
      <x:c r="A1174" s="33" t="str">
        <x:v>Hellgates</x:v>
      </x:c>
      <x:c r="B1174" s="34" t="n">
        <x:v>800</x:v>
      </x:c>
      <x:c r="C1174" s="34" t="n">
        <x:v>55285</x:v>
      </x:c>
      <x:c r="D1174" s="34" t="n">
        <x:v>7</x:v>
      </x:c>
      <x:c r="E1174" s="34" t="str">
        <x:v>MatMac</x:v>
      </x:c>
      <x:c r="F1174" s="34" t="n">
        <x:v>3107</x:v>
      </x:c>
      <x:c r="G1174" s="35" t="n">
        <x:f>IF(C1174=0,0,F1174/C1174*B1174)</x:f>
        <x:v>44.95975400198969</x:v>
      </x:c>
    </x:row>
    <x:row r="1175">
      <x:c r="A1175" s="33" t="str">
        <x:v>Hellgates</x:v>
      </x:c>
      <x:c r="B1175" s="34" t="n">
        <x:v>800</x:v>
      </x:c>
      <x:c r="C1175" s="34" t="n">
        <x:v>55285</x:v>
      </x:c>
      <x:c r="D1175" s="34" t="n">
        <x:v>8</x:v>
      </x:c>
      <x:c r="E1175" s="34" t="str">
        <x:v>TKZX</x:v>
      </x:c>
      <x:c r="F1175" s="34" t="n">
        <x:v>3107</x:v>
      </x:c>
      <x:c r="G1175" s="35" t="n">
        <x:f>IF(C1175=0,0,F1175/C1175*B1175)</x:f>
        <x:v>44.95975400198969</x:v>
      </x:c>
    </x:row>
    <x:row r="1176">
      <x:c r="A1176" s="33" t="str">
        <x:v>Hellgates</x:v>
      </x:c>
      <x:c r="B1176" s="34" t="n">
        <x:v>800</x:v>
      </x:c>
      <x:c r="C1176" s="34" t="n">
        <x:v>55285</x:v>
      </x:c>
      <x:c r="D1176" s="34" t="n">
        <x:v>9</x:v>
      </x:c>
      <x:c r="E1176" s="34" t="str">
        <x:v>jairrodrigo</x:v>
      </x:c>
      <x:c r="F1176" s="34" t="n">
        <x:v>3030</x:v>
      </x:c>
      <x:c r="G1176" s="35" t="n">
        <x:f>IF(C1176=0,0,F1176/C1176*B1176)</x:f>
        <x:v>43.84552771999638</x:v>
      </x:c>
    </x:row>
    <x:row r="1177">
      <x:c r="A1177" s="33" t="str">
        <x:v>Hellgates</x:v>
      </x:c>
      <x:c r="B1177" s="34" t="n">
        <x:v>800</x:v>
      </x:c>
      <x:c r="C1177" s="34" t="n">
        <x:v>55285</x:v>
      </x:c>
      <x:c r="D1177" s="34" t="n">
        <x:v>10</x:v>
      </x:c>
      <x:c r="E1177" s="34" t="str">
        <x:v>dsn</x:v>
      </x:c>
      <x:c r="F1177" s="34" t="n">
        <x:v>2412</x:v>
      </x:c>
      <x:c r="G1177" s="35" t="n">
        <x:f>IF(C1177=0,0,F1177/C1177*B1177)</x:f>
        <x:v>34.90277652166049</x:v>
      </x:c>
    </x:row>
    <x:row r="1178">
      <x:c r="A1178" s="33" t="str">
        <x:v>Hellgates</x:v>
      </x:c>
      <x:c r="B1178" s="34" t="n">
        <x:v>800</x:v>
      </x:c>
      <x:c r="C1178" s="34" t="n">
        <x:v>55285</x:v>
      </x:c>
      <x:c r="D1178" s="34" t="n">
        <x:v>11</x:v>
      </x:c>
      <x:c r="E1178" s="34" t="str">
        <x:v>Hi6or</x:v>
      </x:c>
      <x:c r="F1178" s="34" t="n">
        <x:v>2412</x:v>
      </x:c>
      <x:c r="G1178" s="35" t="n">
        <x:f>IF(C1178=0,0,F1178/C1178*B1178)</x:f>
        <x:v>34.90277652166049</x:v>
      </x:c>
    </x:row>
    <x:row r="1179">
      <x:c r="A1179" s="33" t="str">
        <x:v>Hellgates</x:v>
      </x:c>
      <x:c r="B1179" s="34" t="n">
        <x:v>800</x:v>
      </x:c>
      <x:c r="C1179" s="34" t="n">
        <x:v>55285</x:v>
      </x:c>
      <x:c r="D1179" s="34" t="n">
        <x:v>12</x:v>
      </x:c>
      <x:c r="E1179" s="34" t="str">
        <x:v>goncalves23</x:v>
      </x:c>
      <x:c r="F1179" s="34" t="n">
        <x:v>1731</x:v>
      </x:c>
      <x:c r="G1179" s="35" t="n">
        <x:f>IF(C1179=0,0,F1179/C1179*B1179)</x:f>
        <x:v>25.04838563805734</x:v>
      </x:c>
    </x:row>
    <x:row r="1180">
      <x:c r="A1180" s="33" t="str">
        <x:v>Hellgates</x:v>
      </x:c>
      <x:c r="B1180" s="34" t="n">
        <x:v>800</x:v>
      </x:c>
      <x:c r="C1180" s="34" t="n">
        <x:v>55285</x:v>
      </x:c>
      <x:c r="D1180" s="34" t="n">
        <x:v>13</x:v>
      </x:c>
      <x:c r="E1180" s="34" t="str">
        <x:v>jaxSlayer</x:v>
      </x:c>
      <x:c r="F1180" s="34" t="n">
        <x:v>804</x:v>
      </x:c>
      <x:c r="G1180" s="35" t="n">
        <x:f>IF(C1180=0,0,F1180/C1180*B1180)</x:f>
        <x:v>11.634258840553494</x:v>
      </x:c>
    </x:row>
    <x:row r="1181">
      <x:c r="A1181" s="33" t="str">
        <x:v>Hellgates</x:v>
      </x:c>
      <x:c r="B1181" s="34" t="n">
        <x:v>800</x:v>
      </x:c>
      <x:c r="C1181" s="34" t="n">
        <x:v>55285</x:v>
      </x:c>
      <x:c r="D1181" s="34" t="n">
        <x:v>14</x:v>
      </x:c>
      <x:c r="E1181" s="34" t="str">
        <x:v>lordkiller01</x:v>
      </x:c>
      <x:c r="F1181" s="34" t="n">
        <x:v>649</x:v>
      </x:c>
      <x:c r="G1181" s="35" t="n">
        <x:f>IF(C1181=0,0,F1181/C1181*B1181)</x:f>
        <x:v>9.391335805372163</x:v>
      </x:c>
    </x:row>
    <x:row r="1182">
      <x:c r="A1182" s="33" t="str">
        <x:v>Hellgates</x:v>
      </x:c>
      <x:c r="B1182" s="34" t="n">
        <x:v>800</x:v>
      </x:c>
      <x:c r="C1182" s="34" t="n">
        <x:v>55285</x:v>
      </x:c>
      <x:c r="D1182" s="34" t="n">
        <x:v>15</x:v>
      </x:c>
      <x:c r="E1182" s="34" t="str">
        <x:v>Euhh</x:v>
      </x:c>
      <x:c r="F1182" s="34" t="n">
        <x:v>649</x:v>
      </x:c>
      <x:c r="G1182" s="35" t="n">
        <x:f>IF(C1182=0,0,F1182/C1182*B1182)</x:f>
        <x:v>9.391335805372163</x:v>
      </x:c>
    </x:row>
    <x:row r="1183">
      <x:c r="A1183" s="33" t="str">
        <x:v>Hellgates</x:v>
      </x:c>
      <x:c r="B1183" s="34" t="n">
        <x:v>800</x:v>
      </x:c>
      <x:c r="C1183" s="34" t="n">
        <x:v>55285</x:v>
      </x:c>
      <x:c r="D1183" s="34" t="n">
        <x:v>16</x:v>
      </x:c>
      <x:c r="E1183" s="34" t="str">
        <x:v>imdonedontkillme</x:v>
      </x:c>
      <x:c r="F1183" s="34" t="n">
        <x:v>557</x:v>
      </x:c>
      <x:c r="G1183" s="35" t="n">
        <x:f>IF(C1183=0,0,F1183/C1183*B1183)</x:f>
        <x:v>8.06005245545808</x:v>
      </x:c>
    </x:row>
    <x:row r="1184">
      <x:c r="A1184" s="33" t="str">
        <x:v>Hellgates</x:v>
      </x:c>
      <x:c r="B1184" s="34" t="n">
        <x:v>800</x:v>
      </x:c>
      <x:c r="C1184" s="34" t="n">
        <x:v>55285</x:v>
      </x:c>
      <x:c r="D1184" s="34" t="n">
        <x:v>17</x:v>
      </x:c>
      <x:c r="E1184" s="34" t="str">
        <x:v>Cominhos</x:v>
      </x:c>
      <x:c r="F1184" s="34" t="n">
        <x:v>557</x:v>
      </x:c>
      <x:c r="G1184" s="35" t="n">
        <x:f>IF(C1184=0,0,F1184/C1184*B1184)</x:f>
        <x:v>8.06005245545808</x:v>
      </x:c>
    </x:row>
    <x:row r="1185">
      <x:c r="A1185" s="33" t="str">
        <x:v>Hellgates</x:v>
      </x:c>
      <x:c r="B1185" s="34" t="n">
        <x:v>800</x:v>
      </x:c>
      <x:c r="C1185" s="34" t="n">
        <x:v>55285</x:v>
      </x:c>
      <x:c r="D1185" s="34" t="n">
        <x:v>18</x:v>
      </x:c>
      <x:c r="E1185" s="34" t="str">
        <x:v>ZURGUING</x:v>
      </x:c>
      <x:c r="F1185" s="34" t="n">
        <x:v>557</x:v>
      </x:c>
      <x:c r="G1185" s="35" t="n">
        <x:f>IF(C1185=0,0,F1185/C1185*B1185)</x:f>
        <x:v>8.06005245545808</x:v>
      </x:c>
    </x:row>
    <x:row r="1186">
      <x:c r="A1186" s="33" t="str">
        <x:v>Hellgates</x:v>
      </x:c>
      <x:c r="B1186" s="34" t="n">
        <x:v>800</x:v>
      </x:c>
      <x:c r="C1186" s="34" t="n">
        <x:v>55285</x:v>
      </x:c>
      <x:c r="D1186" s="34" t="n">
        <x:v>19</x:v>
      </x:c>
      <x:c r="E1186" s="34" t="str">
        <x:v>Kuntakint</x:v>
      </x:c>
      <x:c r="F1186" s="34" t="n">
        <x:v>433</x:v>
      </x:c>
      <x:c r="G1186" s="35" t="n">
        <x:f>IF(C1186=0,0,F1186/C1186*B1186)</x:f>
        <x:v>6.265714027313014</x:v>
      </x:c>
    </x:row>
    <x:row r="1187">
      <x:c r="A1187" s="33" t="str">
        <x:v>Hellgates</x:v>
      </x:c>
      <x:c r="B1187" s="34" t="n">
        <x:v>800</x:v>
      </x:c>
      <x:c r="C1187" s="34" t="n">
        <x:v>55285</x:v>
      </x:c>
      <x:c r="D1187" s="34" t="n">
        <x:v>20</x:v>
      </x:c>
      <x:c r="E1187" s="34" t="str">
        <x:v>Sonjigolo</x:v>
      </x:c>
      <x:c r="F1187" s="34" t="n">
        <x:v>433</x:v>
      </x:c>
      <x:c r="G1187" s="35" t="n">
        <x:f>IF(C1187=0,0,F1187/C1187*B1187)</x:f>
        <x:v>6.265714027313014</x:v>
      </x:c>
    </x:row>
    <x:row r="1188">
      <x:c r="A1188" s="33" t="str">
        <x:v>Hellgates</x:v>
      </x:c>
      <x:c r="B1188" s="34" t="n">
        <x:v>800</x:v>
      </x:c>
      <x:c r="C1188" s="34" t="n">
        <x:v>55285</x:v>
      </x:c>
      <x:c r="D1188" s="34" t="n">
        <x:v>21</x:v>
      </x:c>
      <x:c r="E1188" s="34" t="str">
        <x:v>Pevida</x:v>
      </x:c>
      <x:c r="F1188" s="34" t="n">
        <x:v>433</x:v>
      </x:c>
      <x:c r="G1188" s="35" t="n">
        <x:f>IF(C1188=0,0,F1188/C1188*B1188)</x:f>
        <x:v>6.265714027313014</x:v>
      </x:c>
    </x:row>
    <x:row r="1189">
      <x:c r="A1189" s="33" t="str">
        <x:v>Profundezas</x:v>
      </x:c>
      <x:c r="B1189" s="34" t="n">
        <x:v>6600</x:v>
      </x:c>
      <x:c r="C1189" s="34" t="n">
        <x:v>422039</x:v>
      </x:c>
      <x:c r="D1189" s="34" t="n">
        <x:v>1</x:v>
      </x:c>
      <x:c r="E1189" s="34" t="str">
        <x:v>theYousek</x:v>
      </x:c>
      <x:c r="F1189" s="34" t="n">
        <x:v>101816</x:v>
      </x:c>
      <x:c r="G1189" s="35" t="n">
        <x:f>IF(C1189=0,0,F1189/C1189*B1189)</x:f>
        <x:v>1592.2357886356474</x:v>
      </x:c>
    </x:row>
    <x:row r="1190">
      <x:c r="A1190" s="33" t="str">
        <x:v>Profundezas</x:v>
      </x:c>
      <x:c r="B1190" s="34" t="n">
        <x:v>6600</x:v>
      </x:c>
      <x:c r="C1190" s="34" t="n">
        <x:v>422039</x:v>
      </x:c>
      <x:c r="D1190" s="34" t="n">
        <x:v>2</x:v>
      </x:c>
      <x:c r="E1190" s="34" t="str">
        <x:v>Djwd</x:v>
      </x:c>
      <x:c r="F1190" s="34" t="n">
        <x:v>49312</x:v>
      </x:c>
      <x:c r="G1190" s="35" t="n">
        <x:f>IF(C1190=0,0,F1190/C1190*B1190)</x:f>
        <x:v>771.159063498871</x:v>
      </x:c>
    </x:row>
    <x:row r="1191">
      <x:c r="A1191" s="33" t="str">
        <x:v>Profundezas</x:v>
      </x:c>
      <x:c r="B1191" s="34" t="n">
        <x:v>6600</x:v>
      </x:c>
      <x:c r="C1191" s="34" t="n">
        <x:v>422039</x:v>
      </x:c>
      <x:c r="D1191" s="34" t="n">
        <x:v>3</x:v>
      </x:c>
      <x:c r="E1191" s="34" t="str">
        <x:v>Lumen821</x:v>
      </x:c>
      <x:c r="F1191" s="34" t="n">
        <x:v>47800</x:v>
      </x:c>
      <x:c r="G1191" s="35" t="n">
        <x:f>IF(C1191=0,0,F1191/C1191*B1191)</x:f>
        <x:v>747.5138553546</x:v>
      </x:c>
    </x:row>
    <x:row r="1192">
      <x:c r="A1192" s="33" t="str">
        <x:v>Profundezas</x:v>
      </x:c>
      <x:c r="B1192" s="34" t="n">
        <x:v>6600</x:v>
      </x:c>
      <x:c r="C1192" s="34" t="n">
        <x:v>422039</x:v>
      </x:c>
      <x:c r="D1192" s="34" t="n">
        <x:v>4</x:v>
      </x:c>
      <x:c r="E1192" s="34" t="str">
        <x:v>BSAIGunner</x:v>
      </x:c>
      <x:c r="F1192" s="34" t="n">
        <x:v>29768</x:v>
      </x:c>
      <x:c r="G1192" s="35" t="n">
        <x:f>IF(C1192=0,0,F1192/C1192*B1192)</x:f>
        <x:v>465.52285452292324</x:v>
      </x:c>
    </x:row>
    <x:row r="1193">
      <x:c r="A1193" s="33" t="str">
        <x:v>Profundezas</x:v>
      </x:c>
      <x:c r="B1193" s="34" t="n">
        <x:v>6600</x:v>
      </x:c>
      <x:c r="C1193" s="34" t="n">
        <x:v>422039</x:v>
      </x:c>
      <x:c r="D1193" s="34" t="n">
        <x:v>5</x:v>
      </x:c>
      <x:c r="E1193" s="34" t="str">
        <x:v>OniGuM000</x:v>
      </x:c>
      <x:c r="F1193" s="34" t="n">
        <x:v>29020</x:v>
      </x:c>
      <x:c r="G1193" s="35" t="n">
        <x:f>IF(C1193=0,0,F1193/C1193*B1193)</x:f>
        <x:v>453.825357372186</x:v>
      </x:c>
    </x:row>
    <x:row r="1194">
      <x:c r="A1194" s="33" t="str">
        <x:v>Profundezas</x:v>
      </x:c>
      <x:c r="B1194" s="34" t="n">
        <x:v>6600</x:v>
      </x:c>
      <x:c r="C1194" s="34" t="n">
        <x:v>422039</x:v>
      </x:c>
      <x:c r="D1194" s="34" t="n">
        <x:v>6</x:v>
      </x:c>
      <x:c r="E1194" s="34" t="str">
        <x:v>imdonedontkillme</x:v>
      </x:c>
      <x:c r="F1194" s="34" t="n">
        <x:v>23408</x:v>
      </x:c>
      <x:c r="G1194" s="35" t="n">
        <x:f>IF(C1194=0,0,F1194/C1194*B1194)</x:f>
        <x:v>366.06285201130703</x:v>
      </x:c>
    </x:row>
    <x:row r="1195">
      <x:c r="A1195" s="33" t="str">
        <x:v>Profundezas</x:v>
      </x:c>
      <x:c r="B1195" s="34" t="n">
        <x:v>6600</x:v>
      </x:c>
      <x:c r="C1195" s="34" t="n">
        <x:v>422039</x:v>
      </x:c>
      <x:c r="D1195" s="34" t="n">
        <x:v>7</x:v>
      </x:c>
      <x:c r="E1195" s="34" t="str">
        <x:v>Sabedoria7</x:v>
      </x:c>
      <x:c r="F1195" s="34" t="n">
        <x:v>19382</x:v>
      </x:c>
      <x:c r="G1195" s="35" t="n">
        <x:f>IF(C1195=0,0,F1195/C1195*B1195)</x:f>
        <x:v>303.10279381763297</x:v>
      </x:c>
    </x:row>
    <x:row r="1196">
      <x:c r="A1196" s="33" t="str">
        <x:v>Profundezas</x:v>
      </x:c>
      <x:c r="B1196" s="34" t="n">
        <x:v>6600</x:v>
      </x:c>
      <x:c r="C1196" s="34" t="n">
        <x:v>422039</x:v>
      </x:c>
      <x:c r="D1196" s="34" t="n">
        <x:v>8</x:v>
      </x:c>
      <x:c r="E1196" s="34" t="str">
        <x:v>SerpentVeil</x:v>
      </x:c>
      <x:c r="F1196" s="34" t="n">
        <x:v>17317</x:v>
      </x:c>
      <x:c r="G1196" s="35" t="n">
        <x:f>IF(C1196=0,0,F1196/C1196*B1196)</x:f>
        <x:v>270.80956973170726</x:v>
      </x:c>
    </x:row>
    <x:row r="1197">
      <x:c r="A1197" s="33" t="str">
        <x:v>Profundezas</x:v>
      </x:c>
      <x:c r="B1197" s="34" t="n">
        <x:v>6600</x:v>
      </x:c>
      <x:c r="C1197" s="34" t="n">
        <x:v>422039</x:v>
      </x:c>
      <x:c r="D1197" s="34" t="n">
        <x:v>9</x:v>
      </x:c>
      <x:c r="E1197" s="34" t="str">
        <x:v>SuSex</x:v>
      </x:c>
      <x:c r="F1197" s="34" t="n">
        <x:v>10933</x:v>
      </x:c>
      <x:c r="G1197" s="35" t="n">
        <x:f>IF(C1197=0,0,F1197/C1197*B1197)</x:f>
        <x:v>170.97424645589626</x:v>
      </x:c>
    </x:row>
    <x:row r="1198">
      <x:c r="A1198" s="33" t="str">
        <x:v>Profundezas</x:v>
      </x:c>
      <x:c r="B1198" s="34" t="n">
        <x:v>6600</x:v>
      </x:c>
      <x:c r="C1198" s="34" t="n">
        <x:v>422039</x:v>
      </x:c>
      <x:c r="D1198" s="34" t="n">
        <x:v>10</x:v>
      </x:c>
      <x:c r="E1198" s="34" t="str">
        <x:v>Reguilla</x:v>
      </x:c>
      <x:c r="F1198" s="34" t="n">
        <x:v>6921</x:v>
      </x:c>
      <x:c r="G1198" s="35" t="n">
        <x:f>IF(C1198=0,0,F1198/C1198*B1198)</x:f>
        <x:v>108.23312537466917</x:v>
      </x:c>
    </x:row>
    <x:row r="1199">
      <x:c r="A1199" s="33" t="str">
        <x:v>Profundezas</x:v>
      </x:c>
      <x:c r="B1199" s="34" t="n">
        <x:v>6600</x:v>
      </x:c>
      <x:c r="C1199" s="34" t="n">
        <x:v>422039</x:v>
      </x:c>
      <x:c r="D1199" s="34" t="n">
        <x:v>11</x:v>
      </x:c>
      <x:c r="E1199" s="34" t="str">
        <x:v>Cominhos</x:v>
      </x:c>
      <x:c r="F1199" s="34" t="n">
        <x:v>6793</x:v>
      </x:c>
      <x:c r="G1199" s="35" t="n">
        <x:f>IF(C1199=0,0,F1199/C1199*B1199)</x:f>
        <x:v>106.231414632297</x:v>
      </x:c>
    </x:row>
    <x:row r="1200">
      <x:c r="A1200" s="33" t="str">
        <x:v>Profundezas</x:v>
      </x:c>
      <x:c r="B1200" s="34" t="n">
        <x:v>6600</x:v>
      </x:c>
      <x:c r="C1200" s="34" t="n">
        <x:v>422039</x:v>
      </x:c>
      <x:c r="D1200" s="34" t="n">
        <x:v>12</x:v>
      </x:c>
      <x:c r="E1200" s="34" t="str">
        <x:v>MatMac</x:v>
      </x:c>
      <x:c r="F1200" s="34" t="n">
        <x:v>6571</x:v>
      </x:c>
      <x:c r="G1200" s="35" t="n">
        <x:f>IF(C1200=0,0,F1200/C1200*B1200)</x:f>
        <x:v>102.75969756349531</x:v>
      </x:c>
    </x:row>
    <x:row r="1201">
      <x:c r="A1201" s="33" t="str">
        <x:v>Profundezas</x:v>
      </x:c>
      <x:c r="B1201" s="34" t="n">
        <x:v>6600</x:v>
      </x:c>
      <x:c r="C1201" s="34" t="n">
        <x:v>422039</x:v>
      </x:c>
      <x:c r="D1201" s="34" t="n">
        <x:v>13</x:v>
      </x:c>
      <x:c r="E1201" s="34" t="str">
        <x:v>KABRITONHO</x:v>
      </x:c>
      <x:c r="F1201" s="34" t="n">
        <x:v>5580</x:v>
      </x:c>
      <x:c r="G1201" s="35" t="n">
        <x:f>IF(C1201=0,0,F1201/C1201*B1201)</x:f>
        <x:v>87.26207767528592</x:v>
      </x:c>
    </x:row>
    <x:row r="1202">
      <x:c r="A1202" s="33" t="str">
        <x:v>Profundezas</x:v>
      </x:c>
      <x:c r="B1202" s="34" t="n">
        <x:v>6600</x:v>
      </x:c>
      <x:c r="C1202" s="34" t="n">
        <x:v>422039</x:v>
      </x:c>
      <x:c r="D1202" s="34" t="n">
        <x:v>14</x:v>
      </x:c>
      <x:c r="E1202" s="34" t="str">
        <x:v>Hi6or</x:v>
      </x:c>
      <x:c r="F1202" s="34" t="n">
        <x:v>4902</x:v>
      </x:c>
      <x:c r="G1202" s="35" t="n">
        <x:f>IF(C1202=0,0,F1202/C1202*B1202)</x:f>
        <x:v>76.65926608678345</x:v>
      </x:c>
    </x:row>
    <x:row r="1203">
      <x:c r="A1203" s="33" t="str">
        <x:v>Profundezas</x:v>
      </x:c>
      <x:c r="B1203" s="34" t="n">
        <x:v>6600</x:v>
      </x:c>
      <x:c r="C1203" s="34" t="n">
        <x:v>422039</x:v>
      </x:c>
      <x:c r="D1203" s="34" t="n">
        <x:v>15</x:v>
      </x:c>
      <x:c r="E1203" s="34" t="str">
        <x:v>Natsury</x:v>
      </x:c>
      <x:c r="F1203" s="34" t="n">
        <x:v>4362</x:v>
      </x:c>
      <x:c r="G1203" s="35" t="n">
        <x:f>IF(C1203=0,0,F1203/C1203*B1203)</x:f>
        <x:v>68.21454889240094</x:v>
      </x:c>
    </x:row>
    <x:row r="1204">
      <x:c r="A1204" s="33" t="str">
        <x:v>Profundezas</x:v>
      </x:c>
      <x:c r="B1204" s="34" t="n">
        <x:v>6600</x:v>
      </x:c>
      <x:c r="C1204" s="34" t="n">
        <x:v>422039</x:v>
      </x:c>
      <x:c r="D1204" s="34" t="n">
        <x:v>16</x:v>
      </x:c>
      <x:c r="E1204" s="34" t="str">
        <x:v>TKZX</x:v>
      </x:c>
      <x:c r="F1204" s="34" t="n">
        <x:v>4230</x:v>
      </x:c>
      <x:c r="G1204" s="35" t="n">
        <x:f>IF(C1204=0,0,F1204/C1204*B1204)</x:f>
        <x:v>66.15028468932965</x:v>
      </x:c>
    </x:row>
    <x:row r="1205">
      <x:c r="A1205" s="33" t="str">
        <x:v>Profundezas</x:v>
      </x:c>
      <x:c r="B1205" s="34" t="n">
        <x:v>6600</x:v>
      </x:c>
      <x:c r="C1205" s="34" t="n">
        <x:v>422039</x:v>
      </x:c>
      <x:c r="D1205" s="34" t="n">
        <x:v>17</x:v>
      </x:c>
      <x:c r="E1205" s="34" t="str">
        <x:v>Merlinavo</x:v>
      </x:c>
      <x:c r="F1205" s="34" t="n">
        <x:v>3928</x:v>
      </x:c>
      <x:c r="G1205" s="35" t="n">
        <x:f>IF(C1205=0,0,F1205/C1205*B1205)</x:f>
        <x:v>61.42749840654536</x:v>
      </x:c>
    </x:row>
    <x:row r="1206">
      <x:c r="A1206" s="33" t="str">
        <x:v>Profundezas</x:v>
      </x:c>
      <x:c r="B1206" s="34" t="n">
        <x:v>6600</x:v>
      </x:c>
      <x:c r="C1206" s="34" t="n">
        <x:v>422039</x:v>
      </x:c>
      <x:c r="D1206" s="34" t="n">
        <x:v>18</x:v>
      </x:c>
      <x:c r="E1206" s="34" t="str">
        <x:v>PlantsTK</x:v>
      </x:c>
      <x:c r="F1206" s="34" t="n">
        <x:v>3528</x:v>
      </x:c>
      <x:c r="G1206" s="35" t="n">
        <x:f>IF(C1206=0,0,F1206/C1206*B1206)</x:f>
        <x:v>55.1721523366324</x:v>
      </x:c>
    </x:row>
    <x:row r="1207">
      <x:c r="A1207" s="33" t="str">
        <x:v>Profundezas</x:v>
      </x:c>
      <x:c r="B1207" s="34" t="n">
        <x:v>6600</x:v>
      </x:c>
      <x:c r="C1207" s="34" t="n">
        <x:v>422039</x:v>
      </x:c>
      <x:c r="D1207" s="34" t="n">
        <x:v>19</x:v>
      </x:c>
      <x:c r="E1207" s="34" t="str">
        <x:v>VnfaTI</x:v>
      </x:c>
      <x:c r="F1207" s="34" t="n">
        <x:v>3168</x:v>
      </x:c>
      <x:c r="G1207" s="35" t="n">
        <x:f>IF(C1207=0,0,F1207/C1207*B1207)</x:f>
        <x:v>49.54234087371072</x:v>
      </x:c>
    </x:row>
    <x:row r="1208">
      <x:c r="A1208" s="33" t="str">
        <x:v>Profundezas</x:v>
      </x:c>
      <x:c r="B1208" s="34" t="n">
        <x:v>6600</x:v>
      </x:c>
      <x:c r="C1208" s="34" t="n">
        <x:v>422039</x:v>
      </x:c>
      <x:c r="D1208" s="34" t="n">
        <x:v>20</x:v>
      </x:c>
      <x:c r="E1208" s="34" t="str">
        <x:v>A2ar</x:v>
      </x:c>
      <x:c r="F1208" s="34" t="n">
        <x:v>2982</x:v>
      </x:c>
      <x:c r="G1208" s="35" t="n">
        <x:f>IF(C1208=0,0,F1208/C1208*B1208)</x:f>
        <x:v>46.63360495120119</x:v>
      </x:c>
    </x:row>
    <x:row r="1209">
      <x:c r="A1209" s="33" t="str">
        <x:v>Profundezas</x:v>
      </x:c>
      <x:c r="B1209" s="34" t="n">
        <x:v>6600</x:v>
      </x:c>
      <x:c r="C1209" s="34" t="n">
        <x:v>422039</x:v>
      </x:c>
      <x:c r="D1209" s="34" t="n">
        <x:v>21</x:v>
      </x:c>
      <x:c r="E1209" s="34" t="str">
        <x:v>Jmbv</x:v>
      </x:c>
      <x:c r="F1209" s="34" t="n">
        <x:v>2946</x:v>
      </x:c>
      <x:c r="G1209" s="35" t="n">
        <x:f>IF(C1209=0,0,F1209/C1209*B1209)</x:f>
        <x:v>46.07062380490902</x:v>
      </x:c>
    </x:row>
    <x:row r="1210">
      <x:c r="A1210" s="33" t="str">
        <x:v>Profundezas</x:v>
      </x:c>
      <x:c r="B1210" s="34" t="n">
        <x:v>6600</x:v>
      </x:c>
      <x:c r="C1210" s="34" t="n">
        <x:v>422039</x:v>
      </x:c>
      <x:c r="D1210" s="34" t="n">
        <x:v>22</x:v>
      </x:c>
      <x:c r="E1210" s="34" t="str">
        <x:v>avven1996</x:v>
      </x:c>
      <x:c r="F1210" s="34" t="n">
        <x:v>2436</x:v>
      </x:c>
      <x:c r="G1210" s="35" t="n">
        <x:f>IF(C1210=0,0,F1210/C1210*B1210)</x:f>
        <x:v>38.095057565769984</x:v>
      </x:c>
    </x:row>
    <x:row r="1211">
      <x:c r="A1211" s="33" t="str">
        <x:v>Profundezas</x:v>
      </x:c>
      <x:c r="B1211" s="34" t="n">
        <x:v>6600</x:v>
      </x:c>
      <x:c r="C1211" s="34" t="n">
        <x:v>422039</x:v>
      </x:c>
      <x:c r="D1211" s="34" t="n">
        <x:v>23</x:v>
      </x:c>
      <x:c r="E1211" s="34" t="str">
        <x:v>BrEnnD</x:v>
      </x:c>
      <x:c r="F1211" s="34" t="n">
        <x:v>2424</x:v>
      </x:c>
      <x:c r="G1211" s="35" t="n">
        <x:f>IF(C1211=0,0,F1211/C1211*B1211)</x:f>
        <x:v>37.9073971836726</x:v>
      </x:c>
    </x:row>
    <x:row r="1212">
      <x:c r="A1212" s="33" t="str">
        <x:v>Profundezas</x:v>
      </x:c>
      <x:c r="B1212" s="34" t="n">
        <x:v>6600</x:v>
      </x:c>
      <x:c r="C1212" s="34" t="n">
        <x:v>422039</x:v>
      </x:c>
      <x:c r="D1212" s="34" t="n">
        <x:v>24</x:v>
      </x:c>
      <x:c r="E1212" s="34" t="str">
        <x:v>xXFate</x:v>
      </x:c>
      <x:c r="F1212" s="34" t="n">
        <x:v>2304</x:v>
      </x:c>
      <x:c r="G1212" s="35" t="n">
        <x:f>IF(C1212=0,0,F1212/C1212*B1212)</x:f>
        <x:v>36.03079336269871</x:v>
      </x:c>
    </x:row>
    <x:row r="1213">
      <x:c r="A1213" s="33" t="str">
        <x:v>Profundezas</x:v>
      </x:c>
      <x:c r="B1213" s="34" t="n">
        <x:v>6600</x:v>
      </x:c>
      <x:c r="C1213" s="34" t="n">
        <x:v>422039</x:v>
      </x:c>
      <x:c r="D1213" s="34" t="n">
        <x:v>25</x:v>
      </x:c>
      <x:c r="E1213" s="34" t="str">
        <x:v>3YS4N</x:v>
      </x:c>
      <x:c r="F1213" s="34" t="n">
        <x:v>2184</x:v>
      </x:c>
      <x:c r="G1213" s="35" t="n">
        <x:f>IF(C1213=0,0,F1213/C1213*B1213)</x:f>
        <x:v>34.15418954172482</x:v>
      </x:c>
    </x:row>
    <x:row r="1214">
      <x:c r="A1214" s="33" t="str">
        <x:v>Profundezas</x:v>
      </x:c>
      <x:c r="B1214" s="34" t="n">
        <x:v>6600</x:v>
      </x:c>
      <x:c r="C1214" s="34" t="n">
        <x:v>422039</x:v>
      </x:c>
      <x:c r="D1214" s="34" t="n">
        <x:v>26</x:v>
      </x:c>
      <x:c r="E1214" s="34" t="str">
        <x:v>hardfedles</x:v>
      </x:c>
      <x:c r="F1214" s="34" t="n">
        <x:v>2184</x:v>
      </x:c>
      <x:c r="G1214" s="35" t="n">
        <x:f>IF(C1214=0,0,F1214/C1214*B1214)</x:f>
        <x:v>34.15418954172482</x:v>
      </x:c>
    </x:row>
    <x:row r="1215">
      <x:c r="A1215" s="33" t="str">
        <x:v>Profundezas</x:v>
      </x:c>
      <x:c r="B1215" s="34" t="n">
        <x:v>6600</x:v>
      </x:c>
      <x:c r="C1215" s="34" t="n">
        <x:v>422039</x:v>
      </x:c>
      <x:c r="D1215" s="34" t="n">
        <x:v>27</x:v>
      </x:c>
      <x:c r="E1215" s="34" t="str">
        <x:v>jairrodrigo</x:v>
      </x:c>
      <x:c r="F1215" s="34" t="n">
        <x:v>1904</x:v>
      </x:c>
      <x:c r="G1215" s="35" t="n">
        <x:f>IF(C1215=0,0,F1215/C1215*B1215)</x:f>
        <x:v>29.77544729278574</x:v>
      </x:c>
    </x:row>
    <x:row r="1216">
      <x:c r="A1216" s="33" t="str">
        <x:v>Profundezas</x:v>
      </x:c>
      <x:c r="B1216" s="34" t="n">
        <x:v>6600</x:v>
      </x:c>
      <x:c r="C1216" s="34" t="n">
        <x:v>422039</x:v>
      </x:c>
      <x:c r="D1216" s="34" t="n">
        <x:v>28</x:v>
      </x:c>
      <x:c r="E1216" s="34" t="str">
        <x:v>Davimix</x:v>
      </x:c>
      <x:c r="F1216" s="34" t="n">
        <x:v>1776</x:v>
      </x:c>
      <x:c r="G1216" s="35" t="n">
        <x:f>IF(C1216=0,0,F1216/C1216*B1216)</x:f>
        <x:v>27.773736550413588</x:v>
      </x:c>
    </x:row>
    <x:row r="1217">
      <x:c r="A1217" s="33" t="str">
        <x:v>Profundezas</x:v>
      </x:c>
      <x:c r="B1217" s="34" t="n">
        <x:v>6600</x:v>
      </x:c>
      <x:c r="C1217" s="34" t="n">
        <x:v>422039</x:v>
      </x:c>
      <x:c r="D1217" s="34" t="n">
        <x:v>29</x:v>
      </x:c>
      <x:c r="E1217" s="34" t="str">
        <x:v>ZURGUING</x:v>
      </x:c>
      <x:c r="F1217" s="34" t="n">
        <x:v>1710</x:v>
      </x:c>
      <x:c r="G1217" s="35" t="n">
        <x:f>IF(C1217=0,0,F1217/C1217*B1217)</x:f>
        <x:v>26.741604448877943</x:v>
      </x:c>
    </x:row>
    <x:row r="1218">
      <x:c r="A1218" s="33" t="str">
        <x:v>Profundezas</x:v>
      </x:c>
      <x:c r="B1218" s="34" t="n">
        <x:v>6600</x:v>
      </x:c>
      <x:c r="C1218" s="34" t="n">
        <x:v>422039</x:v>
      </x:c>
      <x:c r="D1218" s="34" t="n">
        <x:v>30</x:v>
      </x:c>
      <x:c r="E1218" s="34" t="str">
        <x:v>goncalves23</x:v>
      </x:c>
      <x:c r="F1218" s="34" t="n">
        <x:v>1568</x:v>
      </x:c>
      <x:c r="G1218" s="35" t="n">
        <x:f>IF(C1218=0,0,F1218/C1218*B1218)</x:f>
        <x:v>24.52095659405884</x:v>
      </x:c>
    </x:row>
    <x:row r="1219">
      <x:c r="A1219" s="33" t="str">
        <x:v>Profundezas</x:v>
      </x:c>
      <x:c r="B1219" s="34" t="n">
        <x:v>6600</x:v>
      </x:c>
      <x:c r="C1219" s="34" t="n">
        <x:v>422039</x:v>
      </x:c>
      <x:c r="D1219" s="34" t="n">
        <x:v>31</x:v>
      </x:c>
      <x:c r="E1219" s="34" t="str">
        <x:v>MRBrutu</x:v>
      </x:c>
      <x:c r="F1219" s="34" t="n">
        <x:v>1568</x:v>
      </x:c>
      <x:c r="G1219" s="35" t="n">
        <x:f>IF(C1219=0,0,F1219/C1219*B1219)</x:f>
        <x:v>24.52095659405884</x:v>
      </x:c>
    </x:row>
    <x:row r="1220">
      <x:c r="A1220" s="33" t="str">
        <x:v>Profundezas</x:v>
      </x:c>
      <x:c r="B1220" s="34" t="n">
        <x:v>6600</x:v>
      </x:c>
      <x:c r="C1220" s="34" t="n">
        <x:v>422039</x:v>
      </x:c>
      <x:c r="D1220" s="34" t="n">
        <x:v>32</x:v>
      </x:c>
      <x:c r="E1220" s="34" t="str">
        <x:v>jokker1998</x:v>
      </x:c>
      <x:c r="F1220" s="34" t="n">
        <x:v>1518</x:v>
      </x:c>
      <x:c r="G1220" s="35" t="n">
        <x:f>IF(C1220=0,0,F1220/C1220*B1220)</x:f>
        <x:v>23.739038335319723</x:v>
      </x:c>
    </x:row>
    <x:row r="1221">
      <x:c r="A1221" s="33" t="str">
        <x:v>Profundezas</x:v>
      </x:c>
      <x:c r="B1221" s="34" t="n">
        <x:v>6600</x:v>
      </x:c>
      <x:c r="C1221" s="34" t="n">
        <x:v>422039</x:v>
      </x:c>
      <x:c r="D1221" s="34" t="n">
        <x:v>33</x:v>
      </x:c>
      <x:c r="E1221" s="34" t="str">
        <x:v>Dorfiuses</x:v>
      </x:c>
      <x:c r="F1221" s="34" t="n">
        <x:v>1460</x:v>
      </x:c>
      <x:c r="G1221" s="35" t="n">
        <x:f>IF(C1221=0,0,F1221/C1221*B1221)</x:f>
        <x:v>22.832013155182338</x:v>
      </x:c>
    </x:row>
    <x:row r="1222">
      <x:c r="A1222" s="33" t="str">
        <x:v>Profundezas</x:v>
      </x:c>
      <x:c r="B1222" s="34" t="n">
        <x:v>6600</x:v>
      </x:c>
      <x:c r="C1222" s="34" t="n">
        <x:v>422039</x:v>
      </x:c>
      <x:c r="D1222" s="34" t="n">
        <x:v>34</x:v>
      </x:c>
      <x:c r="E1222" s="34" t="str">
        <x:v>Temperamental</x:v>
      </x:c>
      <x:c r="F1222" s="34" t="n">
        <x:v>1404</x:v>
      </x:c>
      <x:c r="G1222" s="35" t="n">
        <x:f>IF(C1222=0,0,F1222/C1222*B1222)</x:f>
        <x:v>21.956264705394524</x:v>
      </x:c>
    </x:row>
    <x:row r="1223">
      <x:c r="A1223" s="33" t="str">
        <x:v>Profundezas</x:v>
      </x:c>
      <x:c r="B1223" s="34" t="n">
        <x:v>6600</x:v>
      </x:c>
      <x:c r="C1223" s="34" t="n">
        <x:v>422039</x:v>
      </x:c>
      <x:c r="D1223" s="34" t="n">
        <x:v>35</x:v>
      </x:c>
      <x:c r="E1223" s="34" t="str">
        <x:v>Lamusk</x:v>
      </x:c>
      <x:c r="F1223" s="34" t="n">
        <x:v>1392</x:v>
      </x:c>
      <x:c r="G1223" s="35" t="n">
        <x:f>IF(C1223=0,0,F1223/C1223*B1223)</x:f>
        <x:v>21.768604323297136</x:v>
      </x:c>
    </x:row>
    <x:row r="1224">
      <x:c r="A1224" s="33" t="str">
        <x:v>Profundezas</x:v>
      </x:c>
      <x:c r="B1224" s="34" t="n">
        <x:v>6600</x:v>
      </x:c>
      <x:c r="C1224" s="34" t="n">
        <x:v>422039</x:v>
      </x:c>
      <x:c r="D1224" s="34" t="n">
        <x:v>36</x:v>
      </x:c>
      <x:c r="E1224" s="34" t="str">
        <x:v>LuiziN</x:v>
      </x:c>
      <x:c r="F1224" s="34" t="n">
        <x:v>1344</x:v>
      </x:c>
      <x:c r="G1224" s="35" t="n">
        <x:f>IF(C1224=0,0,F1224/C1224*B1224)</x:f>
        <x:v>21.01796279490758</x:v>
      </x:c>
    </x:row>
    <x:row r="1225">
      <x:c r="A1225" s="33" t="str">
        <x:v>Profundezas</x:v>
      </x:c>
      <x:c r="B1225" s="34" t="n">
        <x:v>6600</x:v>
      </x:c>
      <x:c r="C1225" s="34" t="n">
        <x:v>422039</x:v>
      </x:c>
      <x:c r="D1225" s="34" t="n">
        <x:v>37</x:v>
      </x:c>
      <x:c r="E1225" s="34" t="str">
        <x:v>dsn</x:v>
      </x:c>
      <x:c r="F1225" s="34" t="n">
        <x:v>1086</x:v>
      </x:c>
      <x:c r="G1225" s="35" t="n">
        <x:f>IF(C1225=0,0,F1225/C1225*B1225)</x:f>
        <x:v>16.983264579813714</x:v>
      </x:c>
    </x:row>
    <x:row r="1226">
      <x:c r="A1226" s="33" t="str">
        <x:v>Profundezas</x:v>
      </x:c>
      <x:c r="B1226" s="34" t="n">
        <x:v>6600</x:v>
      </x:c>
      <x:c r="C1226" s="34" t="n">
        <x:v>422039</x:v>
      </x:c>
      <x:c r="D1226" s="34" t="n">
        <x:v>38</x:v>
      </x:c>
      <x:c r="E1226" s="34" t="str">
        <x:v>kadigo</x:v>
      </x:c>
      <x:c r="F1226" s="34" t="n">
        <x:v>1064</x:v>
      </x:c>
      <x:c r="G1226" s="35" t="n">
        <x:f>IF(C1226=0,0,F1226/C1226*B1226)</x:f>
        <x:v>16.639220545968502</x:v>
      </x:c>
    </x:row>
    <x:row r="1227">
      <x:c r="A1227" s="33" t="str">
        <x:v>Profundezas</x:v>
      </x:c>
      <x:c r="B1227" s="34" t="n">
        <x:v>6600</x:v>
      </x:c>
      <x:c r="C1227" s="34" t="n">
        <x:v>422039</x:v>
      </x:c>
      <x:c r="D1227" s="34" t="n">
        <x:v>39</x:v>
      </x:c>
      <x:c r="E1227" s="34" t="str">
        <x:v>minhafemea1</x:v>
      </x:c>
      <x:c r="F1227" s="34" t="n">
        <x:v>1008</x:v>
      </x:c>
      <x:c r="G1227" s="35" t="n">
        <x:f>IF(C1227=0,0,F1227/C1227*B1227)</x:f>
        <x:v>15.763472096180683</x:v>
      </x:c>
    </x:row>
    <x:row r="1228">
      <x:c r="A1228" s="33" t="str">
        <x:v>Profundezas</x:v>
      </x:c>
      <x:c r="B1228" s="34" t="n">
        <x:v>6600</x:v>
      </x:c>
      <x:c r="C1228" s="34" t="n">
        <x:v>422039</x:v>
      </x:c>
      <x:c r="D1228" s="34" t="n">
        <x:v>40</x:v>
      </x:c>
      <x:c r="E1228" s="34" t="str">
        <x:v>Nagacaburos</x:v>
      </x:c>
      <x:c r="F1228" s="34" t="n">
        <x:v>960</x:v>
      </x:c>
      <x:c r="G1228" s="35" t="n">
        <x:f>IF(C1228=0,0,F1228/C1228*B1228)</x:f>
        <x:v>15.012830567791129</x:v>
      </x:c>
    </x:row>
    <x:row r="1229">
      <x:c r="A1229" s="33" t="str">
        <x:v>Profundezas</x:v>
      </x:c>
      <x:c r="B1229" s="34" t="n">
        <x:v>6600</x:v>
      </x:c>
      <x:c r="C1229" s="34" t="n">
        <x:v>422039</x:v>
      </x:c>
      <x:c r="D1229" s="34" t="n">
        <x:v>41</x:v>
      </x:c>
      <x:c r="E1229" s="34" t="str">
        <x:v>VULTO</x:v>
      </x:c>
      <x:c r="F1229" s="34" t="n">
        <x:v>904</x:v>
      </x:c>
      <x:c r="G1229" s="35" t="n">
        <x:f>IF(C1229=0,0,F1229/C1229*B1229)</x:f>
        <x:v>14.137082118003311</x:v>
      </x:c>
    </x:row>
    <x:row r="1230">
      <x:c r="A1230" s="33" t="str">
        <x:v>Profundezas</x:v>
      </x:c>
      <x:c r="B1230" s="34" t="n">
        <x:v>6600</x:v>
      </x:c>
      <x:c r="C1230" s="34" t="n">
        <x:v>422039</x:v>
      </x:c>
      <x:c r="D1230" s="34" t="n">
        <x:v>42</x:v>
      </x:c>
      <x:c r="E1230" s="34" t="str">
        <x:v>MachoAlpha</x:v>
      </x:c>
      <x:c r="F1230" s="34" t="n">
        <x:v>728</x:v>
      </x:c>
      <x:c r="G1230" s="35" t="n">
        <x:f>IF(C1230=0,0,F1230/C1230*B1230)</x:f>
        <x:v>11.384729847241605</x:v>
      </x:c>
    </x:row>
    <x:row r="1231">
      <x:c r="A1231" s="33" t="str">
        <x:v>Profundezas</x:v>
      </x:c>
      <x:c r="B1231" s="34" t="n">
        <x:v>6600</x:v>
      </x:c>
      <x:c r="C1231" s="34" t="n">
        <x:v>422039</x:v>
      </x:c>
      <x:c r="D1231" s="34" t="n">
        <x:v>43</x:v>
      </x:c>
      <x:c r="E1231" s="34" t="str">
        <x:v>SShadowless</x:v>
      </x:c>
      <x:c r="F1231" s="34" t="n">
        <x:v>528</x:v>
      </x:c>
      <x:c r="G1231" s="35" t="n">
        <x:f>IF(C1231=0,0,F1231/C1231*B1231)</x:f>
        <x:v>8.257056812285121</x:v>
      </x:c>
    </x:row>
    <x:row r="1232">
      <x:c r="A1232" s="33" t="str">
        <x:v>Profundezas</x:v>
      </x:c>
      <x:c r="B1232" s="34" t="n">
        <x:v>6600</x:v>
      </x:c>
      <x:c r="C1232" s="34" t="n">
        <x:v>422039</x:v>
      </x:c>
      <x:c r="D1232" s="34" t="n">
        <x:v>44</x:v>
      </x:c>
      <x:c r="E1232" s="34" t="str">
        <x:v>Soldier027</x:v>
      </x:c>
      <x:c r="F1232" s="34" t="n">
        <x:v>504</x:v>
      </x:c>
      <x:c r="G1232" s="35" t="n">
        <x:f>IF(C1232=0,0,F1232/C1232*B1232)</x:f>
        <x:v>7.881736048090342</x:v>
      </x:c>
    </x:row>
    <x:row r="1233">
      <x:c r="A1233" s="33" t="str">
        <x:v>Profundezas</x:v>
      </x:c>
      <x:c r="B1233" s="34" t="n">
        <x:v>6600</x:v>
      </x:c>
      <x:c r="C1233" s="34" t="n">
        <x:v>422039</x:v>
      </x:c>
      <x:c r="D1233" s="34" t="n">
        <x:v>45</x:v>
      </x:c>
      <x:c r="E1233" s="34" t="str">
        <x:v>Julioczr</x:v>
      </x:c>
      <x:c r="F1233" s="34" t="n">
        <x:v>468</x:v>
      </x:c>
      <x:c r="G1233" s="35" t="n">
        <x:f>IF(C1233=0,0,F1233/C1233*B1233)</x:f>
        <x:v>7.318754901798176</x:v>
      </x:c>
    </x:row>
    <x:row r="1234">
      <x:c r="A1234" s="33" t="str">
        <x:v>Profundezas</x:v>
      </x:c>
      <x:c r="B1234" s="34" t="n">
        <x:v>6600</x:v>
      </x:c>
      <x:c r="C1234" s="34" t="n">
        <x:v>422039</x:v>
      </x:c>
      <x:c r="D1234" s="34" t="n">
        <x:v>46</x:v>
      </x:c>
      <x:c r="E1234" s="34" t="str">
        <x:v>HolyGyat2324</x:v>
      </x:c>
      <x:c r="F1234" s="34" t="n">
        <x:v>420</x:v>
      </x:c>
      <x:c r="G1234" s="35" t="n">
        <x:f>IF(C1234=0,0,F1234/C1234*B1234)</x:f>
        <x:v>6.568113373408619</x:v>
      </x:c>
    </x:row>
    <x:row r="1235">
      <x:c r="A1235" s="33" t="str">
        <x:v>Profundezas</x:v>
      </x:c>
      <x:c r="B1235" s="34" t="n">
        <x:v>6600</x:v>
      </x:c>
      <x:c r="C1235" s="34" t="n">
        <x:v>422039</x:v>
      </x:c>
      <x:c r="D1235" s="34" t="n">
        <x:v>47</x:v>
      </x:c>
      <x:c r="E1235" s="34" t="str">
        <x:v>vitinraba</x:v>
      </x:c>
      <x:c r="F1235" s="34" t="n">
        <x:v>392</x:v>
      </x:c>
      <x:c r="G1235" s="35" t="n">
        <x:f>IF(C1235=0,0,F1235/C1235*B1235)</x:f>
        <x:v>6.13023914851471</x:v>
      </x:c>
    </x:row>
    <x:row r="1236">
      <x:c r="A1236" s="33" t="str">
        <x:v>Profundezas</x:v>
      </x:c>
      <x:c r="B1236" s="34" t="n">
        <x:v>6600</x:v>
      </x:c>
      <x:c r="C1236" s="34" t="n">
        <x:v>422039</x:v>
      </x:c>
      <x:c r="D1236" s="34" t="n">
        <x:v>48</x:v>
      </x:c>
      <x:c r="E1236" s="34" t="str">
        <x:v>Jabiroca1</x:v>
      </x:c>
      <x:c r="F1236" s="34" t="n">
        <x:v>336</x:v>
      </x:c>
      <x:c r="G1236" s="35" t="n">
        <x:f>IF(C1236=0,0,F1236/C1236*B1236)</x:f>
        <x:v>5.254490698726895</x:v>
      </x:c>
    </x:row>
    <x:row r="1237">
      <x:c r="A1237" s="33" t="str">
        <x:v>Profundezas</x:v>
      </x:c>
      <x:c r="B1237" s="34" t="n">
        <x:v>6600</x:v>
      </x:c>
      <x:c r="C1237" s="34" t="n">
        <x:v>422039</x:v>
      </x:c>
      <x:c r="D1237" s="34" t="n">
        <x:v>49</x:v>
      </x:c>
      <x:c r="E1237" s="34" t="str">
        <x:v>Karz1N</x:v>
      </x:c>
      <x:c r="F1237" s="34" t="n">
        <x:v>224</x:v>
      </x:c>
      <x:c r="G1237" s="35" t="n">
        <x:f>IF(C1237=0,0,F1237/C1237*B1237)</x:f>
        <x:v>3.502993799151263</x:v>
      </x:c>
    </x:row>
    <x:row r="1238">
      <x:c r="A1238" s="33" t="str">
        <x:v>Profundezas</x:v>
      </x:c>
      <x:c r="B1238" s="34" t="n">
        <x:v>6600</x:v>
      </x:c>
      <x:c r="C1238" s="34" t="n">
        <x:v>422039</x:v>
      </x:c>
      <x:c r="D1238" s="34" t="n">
        <x:v>50</x:v>
      </x:c>
      <x:c r="E1238" s="34" t="str">
        <x:v>KalosKirk2</x:v>
      </x:c>
      <x:c r="F1238" s="34" t="n">
        <x:v>208</x:v>
      </x:c>
      <x:c r="G1238" s="35" t="n">
        <x:f>IF(C1238=0,0,F1238/C1238*B1238)</x:f>
        <x:v>3.2527799563547446</x:v>
      </x:c>
    </x:row>
    <x:row r="1239">
      <x:c r="A1239" s="33" t="str">
        <x:v>Profundezas</x:v>
      </x:c>
      <x:c r="B1239" s="34" t="n">
        <x:v>6600</x:v>
      </x:c>
      <x:c r="C1239" s="34" t="n">
        <x:v>422039</x:v>
      </x:c>
      <x:c r="D1239" s="34" t="n">
        <x:v>51</x:v>
      </x:c>
      <x:c r="E1239" s="34" t="str">
        <x:v>JowManojow</x:v>
      </x:c>
      <x:c r="F1239" s="34" t="n">
        <x:v>198</x:v>
      </x:c>
      <x:c r="G1239" s="35" t="n">
        <x:f>IF(C1239=0,0,F1239/C1239*B1239)</x:f>
        <x:v>3.09639630460692</x:v>
      </x:c>
    </x:row>
    <x:row r="1240">
      <x:c r="A1240" s="33" t="str">
        <x:v>Profundezas</x:v>
      </x:c>
      <x:c r="B1240" s="34" t="n">
        <x:v>6600</x:v>
      </x:c>
      <x:c r="C1240" s="34" t="n">
        <x:v>422039</x:v>
      </x:c>
      <x:c r="D1240" s="34" t="n">
        <x:v>52</x:v>
      </x:c>
      <x:c r="E1240" s="34" t="str">
        <x:v>diovolo</x:v>
      </x:c>
      <x:c r="F1240" s="34" t="n">
        <x:v>168</x:v>
      </x:c>
      <x:c r="G1240" s="35" t="n">
        <x:f>IF(C1240=0,0,F1240/C1240*B1240)</x:f>
        <x:v>2.6272453493634473</x:v>
      </x:c>
    </x:row>
    <x:row r="1241">
      <x:c r="A1241" s="33" t="str">
        <x:v>Profundezas</x:v>
      </x:c>
      <x:c r="B1241" s="34" t="n">
        <x:v>6600</x:v>
      </x:c>
      <x:c r="C1241" s="34" t="n">
        <x:v>422039</x:v>
      </x:c>
      <x:c r="D1241" s="34" t="n">
        <x:v>53</x:v>
      </x:c>
      <x:c r="E1241" s="34" t="str">
        <x:v>jordansPt</x:v>
      </x:c>
      <x:c r="F1241" s="34" t="n">
        <x:v>168</x:v>
      </x:c>
      <x:c r="G1241" s="35" t="n">
        <x:f>IF(C1241=0,0,F1241/C1241*B1241)</x:f>
        <x:v>2.6272453493634473</x:v>
      </x:c>
    </x:row>
    <x:row r="1242">
      <x:c r="A1242" s="33" t="str">
        <x:v>Profundezas</x:v>
      </x:c>
      <x:c r="B1242" s="34" t="n">
        <x:v>6600</x:v>
      </x:c>
      <x:c r="C1242" s="34" t="n">
        <x:v>422039</x:v>
      </x:c>
      <x:c r="D1242" s="34" t="n">
        <x:v>54</x:v>
      </x:c>
      <x:c r="E1242" s="34" t="str">
        <x:v>Euhh</x:v>
      </x:c>
      <x:c r="F1242" s="34" t="n">
        <x:v>150</x:v>
      </x:c>
      <x:c r="G1242" s="35" t="n">
        <x:f>IF(C1242=0,0,F1242/C1242*B1242)</x:f>
        <x:v>2.3457547762173636</x:v>
      </x:c>
    </x:row>
    <x:row r="1243">
      <x:c r="A1243" s="33" t="str">
        <x:v>Profundezas</x:v>
      </x:c>
      <x:c r="B1243" s="34" t="n">
        <x:v>6600</x:v>
      </x:c>
      <x:c r="C1243" s="34" t="n">
        <x:v>422039</x:v>
      </x:c>
      <x:c r="D1243" s="34" t="n">
        <x:v>55</x:v>
      </x:c>
      <x:c r="E1243" s="34" t="str">
        <x:v>xVenon</x:v>
      </x:c>
      <x:c r="F1243" s="34" t="n">
        <x:v>144</x:v>
      </x:c>
      <x:c r="G1243" s="35" t="n">
        <x:f>IF(C1243=0,0,F1243/C1243*B1243)</x:f>
        <x:v>2.2519245851686693</x:v>
      </x:c>
    </x:row>
    <x:row r="1244">
      <x:c r="A1244" s="33" t="str">
        <x:v>Profundezas</x:v>
      </x:c>
      <x:c r="B1244" s="34" t="n">
        <x:v>6600</x:v>
      </x:c>
      <x:c r="C1244" s="34" t="n">
        <x:v>422039</x:v>
      </x:c>
      <x:c r="D1244" s="34" t="n">
        <x:v>56</x:v>
      </x:c>
      <x:c r="E1244" s="34" t="str">
        <x:v>Vr4L</x:v>
      </x:c>
      <x:c r="F1244" s="34" t="n">
        <x:v>140</x:v>
      </x:c>
      <x:c r="G1244" s="35" t="n">
        <x:f>IF(C1244=0,0,F1244/C1244*B1244)</x:f>
        <x:v>2.1893711244695395</x:v>
      </x:c>
    </x:row>
    <x:row r="1245">
      <x:c r="A1245" s="33" t="str">
        <x:v>Profundezas</x:v>
      </x:c>
      <x:c r="B1245" s="34" t="n">
        <x:v>6600</x:v>
      </x:c>
      <x:c r="C1245" s="34" t="n">
        <x:v>422039</x:v>
      </x:c>
      <x:c r="D1245" s="34" t="n">
        <x:v>57</x:v>
      </x:c>
      <x:c r="E1245" s="34" t="str">
        <x:v>Ruizao</x:v>
      </x:c>
      <x:c r="F1245" s="34" t="n">
        <x:v>84</x:v>
      </x:c>
      <x:c r="G1245" s="35" t="n">
        <x:f>IF(C1245=0,0,F1245/C1245*B1245)</x:f>
        <x:v>1.3136226746817237</x:v>
      </x:c>
    </x:row>
    <x:row r="1246">
      <x:c r="A1246" s="33" t="str">
        <x:v>Profundezas</x:v>
      </x:c>
      <x:c r="B1246" s="34" t="n">
        <x:v>6600</x:v>
      </x:c>
      <x:c r="C1246" s="34" t="n">
        <x:v>422039</x:v>
      </x:c>
      <x:c r="D1246" s="34" t="n">
        <x:v>58</x:v>
      </x:c>
      <x:c r="E1246" s="34" t="str">
        <x:v>Superpk</x:v>
      </x:c>
      <x:c r="F1246" s="34" t="n">
        <x:v>78</x:v>
      </x:c>
      <x:c r="G1246" s="35" t="n">
        <x:f>IF(C1246=0,0,F1246/C1246*B1246)</x:f>
        <x:v>1.2197924836330292</x:v>
      </x:c>
    </x:row>
    <x:row r="1247">
      <x:c r="A1247" s="33" t="str">
        <x:v>Profundezas</x:v>
      </x:c>
      <x:c r="B1247" s="34" t="n">
        <x:v>6600</x:v>
      </x:c>
      <x:c r="C1247" s="34" t="n">
        <x:v>422039</x:v>
      </x:c>
      <x:c r="D1247" s="34" t="n">
        <x:v>59</x:v>
      </x:c>
      <x:c r="E1247" s="34" t="str">
        <x:v>Madruguinha</x:v>
      </x:c>
      <x:c r="F1247" s="34" t="n">
        <x:v>66</x:v>
      </x:c>
      <x:c r="G1247" s="35" t="n">
        <x:f>IF(C1247=0,0,F1247/C1247*B1247)</x:f>
        <x:v>1.0321321015356402</x:v>
      </x:c>
    </x:row>
    <x:row r="1248">
      <x:c r="A1248" s="33" t="str">
        <x:v>Profundezas</x:v>
      </x:c>
      <x:c r="B1248" s="34" t="n">
        <x:v>6600</x:v>
      </x:c>
      <x:c r="C1248" s="34" t="n">
        <x:v>422039</x:v>
      </x:c>
      <x:c r="D1248" s="34" t="n">
        <x:v>60</x:v>
      </x:c>
      <x:c r="E1248" s="34" t="str">
        <x:v>KuNaKiNa</x:v>
      </x:c>
      <x:c r="F1248" s="34" t="n">
        <x:v>66</x:v>
      </x:c>
      <x:c r="G1248" s="35" t="n">
        <x:f>IF(C1248=0,0,F1248/C1248*B1248)</x:f>
        <x:v>1.0321321015356402</x:v>
      </x:c>
    </x:row>
    <x:row r="1249">
      <x:c r="A1249" s="33" t="str">
        <x:v>Profundezas</x:v>
      </x:c>
      <x:c r="B1249" s="34" t="n">
        <x:v>6600</x:v>
      </x:c>
      <x:c r="C1249" s="34" t="n">
        <x:v>422039</x:v>
      </x:c>
      <x:c r="D1249" s="34" t="n">
        <x:v>61</x:v>
      </x:c>
      <x:c r="E1249" s="34" t="str">
        <x:v>dudugamexd43</x:v>
      </x:c>
      <x:c r="F1249" s="34" t="n">
        <x:v>52</x:v>
      </x:c>
      <x:c r="G1249" s="35" t="n">
        <x:f>IF(C1249=0,0,F1249/C1249*B1249)</x:f>
        <x:v>0.8131949890886861</x:v>
      </x:c>
    </x:row>
    <x:row r="1250">
      <x:c r="A1250" s="33" t="str">
        <x:v>Profundezas</x:v>
      </x:c>
      <x:c r="B1250" s="34" t="n">
        <x:v>6600</x:v>
      </x:c>
      <x:c r="C1250" s="34" t="n">
        <x:v>422039</x:v>
      </x:c>
      <x:c r="D1250" s="34" t="n">
        <x:v>62</x:v>
      </x:c>
      <x:c r="E1250" s="34" t="str">
        <x:v>Nandixx</x:v>
      </x:c>
      <x:c r="F1250" s="34" t="n">
        <x:v>52</x:v>
      </x:c>
      <x:c r="G1250" s="35" t="n">
        <x:f>IF(C1250=0,0,F1250/C1250*B1250)</x:f>
        <x:v>0.8131949890886861</x:v>
      </x:c>
    </x:row>
    <x:row r="1251">
      <x:c r="A1251" s="33" t="str">
        <x:v>Corrompidas</x:v>
      </x:c>
      <x:c r="B1251" s="34" t="n">
        <x:v>550</x:v>
      </x:c>
      <x:c r="C1251" s="34" t="n">
        <x:v>19247</x:v>
      </x:c>
      <x:c r="D1251" s="34" t="n">
        <x:v>1</x:v>
      </x:c>
      <x:c r="E1251" s="34" t="str">
        <x:v>SuSex</x:v>
      </x:c>
      <x:c r="F1251" s="34" t="n">
        <x:v>4533</x:v>
      </x:c>
      <x:c r="G1251" s="35" t="n">
        <x:f>IF(C1251=0,0,F1251/C1251*B1251)</x:f>
        <x:v>129.5344729048683</x:v>
      </x:c>
    </x:row>
    <x:row r="1252">
      <x:c r="A1252" s="33" t="str">
        <x:v>Corrompidas</x:v>
      </x:c>
      <x:c r="B1252" s="34" t="n">
        <x:v>550</x:v>
      </x:c>
      <x:c r="C1252" s="34" t="n">
        <x:v>19247</x:v>
      </x:c>
      <x:c r="D1252" s="34" t="n">
        <x:v>2</x:v>
      </x:c>
      <x:c r="E1252" s="34" t="str">
        <x:v>Ruizao</x:v>
      </x:c>
      <x:c r="F1252" s="34" t="n">
        <x:v>2909</x:v>
      </x:c>
      <x:c r="G1252" s="35" t="n">
        <x:f>IF(C1252=0,0,F1252/C1252*B1252)</x:f>
        <x:v>83.12724060892606</x:v>
      </x:c>
    </x:row>
    <x:row r="1253">
      <x:c r="A1253" s="33" t="str">
        <x:v>Corrompidas</x:v>
      </x:c>
      <x:c r="B1253" s="34" t="n">
        <x:v>550</x:v>
      </x:c>
      <x:c r="C1253" s="34" t="n">
        <x:v>19247</x:v>
      </x:c>
      <x:c r="D1253" s="34" t="n">
        <x:v>3</x:v>
      </x:c>
      <x:c r="E1253" s="34" t="str">
        <x:v>NamikazePT</x:v>
      </x:c>
      <x:c r="F1253" s="34" t="n">
        <x:v>2493</x:v>
      </x:c>
      <x:c r="G1253" s="35" t="n">
        <x:f>IF(C1253=0,0,F1253/C1253*B1253)</x:f>
        <x:v>71.23967371538421</x:v>
      </x:c>
    </x:row>
    <x:row r="1254">
      <x:c r="A1254" s="33" t="str">
        <x:v>Corrompidas</x:v>
      </x:c>
      <x:c r="B1254" s="34" t="n">
        <x:v>550</x:v>
      </x:c>
      <x:c r="C1254" s="34" t="n">
        <x:v>19247</x:v>
      </x:c>
      <x:c r="D1254" s="34" t="n">
        <x:v>4</x:v>
      </x:c>
      <x:c r="E1254" s="34" t="str">
        <x:v>Dorfiuses</x:v>
      </x:c>
      <x:c r="F1254" s="34" t="n">
        <x:v>2078</x:v>
      </x:c>
      <x:c r="G1254" s="35" t="n">
        <x:f>IF(C1254=0,0,F1254/C1254*B1254)</x:f>
        <x:v>59.380682703797994</x:v>
      </x:c>
    </x:row>
    <x:row r="1255">
      <x:c r="A1255" s="33" t="str">
        <x:v>Corrompidas</x:v>
      </x:c>
      <x:c r="B1255" s="34" t="n">
        <x:v>550</x:v>
      </x:c>
      <x:c r="C1255" s="34" t="n">
        <x:v>19247</x:v>
      </x:c>
      <x:c r="D1255" s="34" t="n">
        <x:v>5</x:v>
      </x:c>
      <x:c r="E1255" s="34" t="str">
        <x:v>RobertXVII</x:v>
      </x:c>
      <x:c r="F1255" s="34" t="n">
        <x:v>1395</x:v>
      </x:c>
      <x:c r="G1255" s="35" t="n">
        <x:f>IF(C1255=0,0,F1255/C1255*B1255)</x:f>
        <x:v>39.863355328103076</x:v>
      </x:c>
    </x:row>
    <x:row r="1256">
      <x:c r="A1256" s="33" t="str">
        <x:v>Corrompidas</x:v>
      </x:c>
      <x:c r="B1256" s="34" t="n">
        <x:v>550</x:v>
      </x:c>
      <x:c r="C1256" s="34" t="n">
        <x:v>19247</x:v>
      </x:c>
      <x:c r="D1256" s="34" t="n">
        <x:v>6</x:v>
      </x:c>
      <x:c r="E1256" s="34" t="str">
        <x:v>zBrunooHD</x:v>
      </x:c>
      <x:c r="F1256" s="34" t="n">
        <x:v>935</x:v>
      </x:c>
      <x:c r="G1256" s="35" t="n">
        <x:f>IF(C1256=0,0,F1256/C1256*B1256)</x:f>
        <x:v>26.718449628513536</x:v>
      </x:c>
    </x:row>
    <x:row r="1257">
      <x:c r="A1257" s="33" t="str">
        <x:v>Corrompidas</x:v>
      </x:c>
      <x:c r="B1257" s="34" t="n">
        <x:v>550</x:v>
      </x:c>
      <x:c r="C1257" s="34" t="n">
        <x:v>19247</x:v>
      </x:c>
      <x:c r="D1257" s="34" t="n">
        <x:v>7</x:v>
      </x:c>
      <x:c r="E1257" s="34" t="str">
        <x:v>KABRITONHO</x:v>
      </x:c>
      <x:c r="F1257" s="34" t="n">
        <x:v>579</x:v>
      </x:c>
      <x:c r="G1257" s="35" t="n">
        <x:f>IF(C1257=0,0,F1257/C1257*B1257)</x:f>
        <x:v>16.54543565230945</x:v>
      </x:c>
    </x:row>
    <x:row r="1258">
      <x:c r="A1258" s="33" t="str">
        <x:v>Corrompidas</x:v>
      </x:c>
      <x:c r="B1258" s="34" t="n">
        <x:v>550</x:v>
      </x:c>
      <x:c r="C1258" s="34" t="n">
        <x:v>19247</x:v>
      </x:c>
      <x:c r="D1258" s="34" t="n">
        <x:v>8</x:v>
      </x:c>
      <x:c r="E1258" s="34" t="str">
        <x:v>imdonedontkillme</x:v>
      </x:c>
      <x:c r="F1258" s="34" t="n">
        <x:v>557</x:v>
      </x:c>
      <x:c r="G1258" s="35" t="n">
        <x:f>IF(C1258=0,0,F1258/C1258*B1258)</x:f>
        <x:v>15.916766249285603</x:v>
      </x:c>
    </x:row>
    <x:row r="1259">
      <x:c r="A1259" s="33" t="str">
        <x:v>Corrompidas</x:v>
      </x:c>
      <x:c r="B1259" s="34" t="n">
        <x:v>550</x:v>
      </x:c>
      <x:c r="C1259" s="34" t="n">
        <x:v>19247</x:v>
      </x:c>
      <x:c r="D1259" s="34" t="n">
        <x:v>9</x:v>
      </x:c>
      <x:c r="E1259" s="34" t="str">
        <x:v>Xiitos</x:v>
      </x:c>
      <x:c r="F1259" s="34" t="n">
        <x:v>534</x:v>
      </x:c>
      <x:c r="G1259" s="35" t="n">
        <x:f>IF(C1259=0,0,F1259/C1259*B1259)</x:f>
        <x:v>15.259520964306127</x:v>
      </x:c>
    </x:row>
    <x:row r="1260">
      <x:c r="A1260" s="33" t="str">
        <x:v>Corrompidas</x:v>
      </x:c>
      <x:c r="B1260" s="34" t="n">
        <x:v>550</x:v>
      </x:c>
      <x:c r="C1260" s="34" t="n">
        <x:v>19247</x:v>
      </x:c>
      <x:c r="D1260" s="34" t="n">
        <x:v>10</x:v>
      </x:c>
      <x:c r="E1260" s="34" t="str">
        <x:v>zNeii</x:v>
      </x:c>
      <x:c r="F1260" s="34" t="n">
        <x:v>534</x:v>
      </x:c>
      <x:c r="G1260" s="35" t="n">
        <x:f>IF(C1260=0,0,F1260/C1260*B1260)</x:f>
        <x:v>15.259520964306127</x:v>
      </x:c>
    </x:row>
    <x:row r="1261">
      <x:c r="A1261" s="33" t="str">
        <x:v>Corrompidas</x:v>
      </x:c>
      <x:c r="B1261" s="34" t="n">
        <x:v>550</x:v>
      </x:c>
      <x:c r="C1261" s="34" t="n">
        <x:v>19247</x:v>
      </x:c>
      <x:c r="D1261" s="34" t="n">
        <x:v>11</x:v>
      </x:c>
      <x:c r="E1261" s="34" t="str">
        <x:v>2PowerGiat</x:v>
      </x:c>
      <x:c r="F1261" s="34" t="n">
        <x:v>386</x:v>
      </x:c>
      <x:c r="G1261" s="35" t="n">
        <x:f>IF(C1261=0,0,F1261/C1261*B1261)</x:f>
        <x:v>11.030290434872967</x:v>
      </x:c>
    </x:row>
    <x:row r="1262">
      <x:c r="A1262" s="33" t="str">
        <x:v>Corrompidas</x:v>
      </x:c>
      <x:c r="B1262" s="34" t="n">
        <x:v>550</x:v>
      </x:c>
      <x:c r="C1262" s="34" t="n">
        <x:v>19247</x:v>
      </x:c>
      <x:c r="D1262" s="34" t="n">
        <x:v>12</x:v>
      </x:c>
      <x:c r="E1262" s="34" t="str">
        <x:v>goncalves23</x:v>
      </x:c>
      <x:c r="F1262" s="34" t="n">
        <x:v>356</x:v>
      </x:c>
      <x:c r="G1262" s="35" t="n">
        <x:f>IF(C1262=0,0,F1262/C1262*B1262)</x:f>
        <x:v>10.173013976204084</x:v>
      </x:c>
    </x:row>
    <x:row r="1263">
      <x:c r="A1263" s="33" t="str">
        <x:v>Corrompidas</x:v>
      </x:c>
      <x:c r="B1263" s="34" t="n">
        <x:v>550</x:v>
      </x:c>
      <x:c r="C1263" s="34" t="n">
        <x:v>19247</x:v>
      </x:c>
      <x:c r="D1263" s="34" t="n">
        <x:v>13</x:v>
      </x:c>
      <x:c r="E1263" s="34" t="str">
        <x:v>Hi6or</x:v>
      </x:c>
      <x:c r="F1263" s="34" t="n">
        <x:v>289</x:v>
      </x:c>
      <x:c r="G1263" s="35" t="n">
        <x:f>IF(C1263=0,0,F1263/C1263*B1263)</x:f>
        <x:v>8.258429885176911</x:v>
      </x:c>
    </x:row>
    <x:row r="1264">
      <x:c r="A1264" s="33" t="str">
        <x:v>Corrompidas</x:v>
      </x:c>
      <x:c r="B1264" s="34" t="n">
        <x:v>550</x:v>
      </x:c>
      <x:c r="C1264" s="34" t="n">
        <x:v>19247</x:v>
      </x:c>
      <x:c r="D1264" s="34" t="n">
        <x:v>14</x:v>
      </x:c>
      <x:c r="E1264" s="34" t="str">
        <x:v>Superpk</x:v>
      </x:c>
      <x:c r="F1264" s="34" t="n">
        <x:v>289</x:v>
      </x:c>
      <x:c r="G1264" s="35" t="n">
        <x:f>IF(C1264=0,0,F1264/C1264*B1264)</x:f>
        <x:v>8.258429885176911</x:v>
      </x:c>
    </x:row>
    <x:row r="1265">
      <x:c r="A1265" s="33" t="str">
        <x:v>Corrompidas</x:v>
      </x:c>
      <x:c r="B1265" s="34" t="n">
        <x:v>550</x:v>
      </x:c>
      <x:c r="C1265" s="34" t="n">
        <x:v>19247</x:v>
      </x:c>
      <x:c r="D1265" s="34" t="n">
        <x:v>15</x:v>
      </x:c>
      <x:c r="E1265" s="34" t="str">
        <x:v>MachoAlpha</x:v>
      </x:c>
      <x:c r="F1265" s="34" t="n">
        <x:v>289</x:v>
      </x:c>
      <x:c r="G1265" s="35" t="n">
        <x:f>IF(C1265=0,0,F1265/C1265*B1265)</x:f>
        <x:v>8.258429885176911</x:v>
      </x:c>
    </x:row>
    <x:row r="1266">
      <x:c r="A1266" s="33" t="str">
        <x:v>Corrompidas</x:v>
      </x:c>
      <x:c r="B1266" s="34" t="n">
        <x:v>550</x:v>
      </x:c>
      <x:c r="C1266" s="34" t="n">
        <x:v>19247</x:v>
      </x:c>
      <x:c r="D1266" s="34" t="n">
        <x:v>16</x:v>
      </x:c>
      <x:c r="E1266" s="34" t="str">
        <x:v>TKZX</x:v>
      </x:c>
      <x:c r="F1266" s="34" t="n">
        <x:v>267</x:v>
      </x:c>
      <x:c r="G1266" s="35" t="n">
        <x:f>IF(C1266=0,0,F1266/C1266*B1266)</x:f>
        <x:v>7.629760482153063</x:v>
      </x:c>
    </x:row>
    <x:row r="1267">
      <x:c r="A1267" s="33" t="str">
        <x:v>Corrompidas</x:v>
      </x:c>
      <x:c r="B1267" s="34" t="n">
        <x:v>550</x:v>
      </x:c>
      <x:c r="C1267" s="34" t="n">
        <x:v>19247</x:v>
      </x:c>
      <x:c r="D1267" s="34" t="n">
        <x:v>17</x:v>
      </x:c>
      <x:c r="E1267" s="34" t="str">
        <x:v>MineMim</x:v>
      </x:c>
      <x:c r="F1267" s="34" t="n">
        <x:v>245</x:v>
      </x:c>
      <x:c r="G1267" s="35" t="n">
        <x:f>IF(C1267=0,0,F1267/C1267*B1267)</x:f>
        <x:v>7.001091079129215</x:v>
      </x:c>
    </x:row>
    <x:row r="1268">
      <x:c r="A1268" s="33" t="str">
        <x:v>Corrompidas</x:v>
      </x:c>
      <x:c r="B1268" s="34" t="n">
        <x:v>550</x:v>
      </x:c>
      <x:c r="C1268" s="34" t="n">
        <x:v>19247</x:v>
      </x:c>
      <x:c r="D1268" s="34" t="n">
        <x:v>18</x:v>
      </x:c>
      <x:c r="E1268" s="34" t="str">
        <x:v>diovolo</x:v>
      </x:c>
      <x:c r="F1268" s="34" t="n">
        <x:v>208</x:v>
      </x:c>
      <x:c r="G1268" s="35" t="n">
        <x:f>IF(C1268=0,0,F1268/C1268*B1268)</x:f>
        <x:v>5.943783446770925</x:v>
      </x:c>
    </x:row>
    <x:row r="1269">
      <x:c r="A1269" s="33" t="str">
        <x:v>Corrompidas</x:v>
      </x:c>
      <x:c r="B1269" s="34" t="n">
        <x:v>550</x:v>
      </x:c>
      <x:c r="C1269" s="34" t="n">
        <x:v>19247</x:v>
      </x:c>
      <x:c r="D1269" s="34" t="n">
        <x:v>19</x:v>
      </x:c>
      <x:c r="E1269" s="34" t="str">
        <x:v>Stresseed</x:v>
      </x:c>
      <x:c r="F1269" s="34" t="n">
        <x:v>193</x:v>
      </x:c>
      <x:c r="G1269" s="35" t="n">
        <x:f>IF(C1269=0,0,F1269/C1269*B1269)</x:f>
        <x:v>5.5151452174364834</x:v>
      </x:c>
    </x:row>
    <x:row r="1270">
      <x:c r="A1270" s="33" t="str">
        <x:v>Corrompidas</x:v>
      </x:c>
      <x:c r="B1270" s="34" t="n">
        <x:v>550</x:v>
      </x:c>
      <x:c r="C1270" s="34" t="n">
        <x:v>19247</x:v>
      </x:c>
      <x:c r="D1270" s="34" t="n">
        <x:v>20</x:v>
      </x:c>
      <x:c r="E1270" s="34" t="str">
        <x:v>Sonjigolo</x:v>
      </x:c>
      <x:c r="F1270" s="34" t="n">
        <x:v>178</x:v>
      </x:c>
      <x:c r="G1270" s="35" t="n">
        <x:f>IF(C1270=0,0,F1270/C1270*B1270)</x:f>
        <x:v>5.086506988102042</x:v>
      </x:c>
    </x:row>
    <x:row r="1271">
      <x:c r="A1271" s="33" t="str">
        <x:v>Castelos e Outposts</x:v>
      </x:c>
      <x:c r="B1271" s="34" t="n">
        <x:v>1950</x:v>
      </x:c>
      <x:c r="C1271" s="34" t="n">
        <x:v>1512746</x:v>
      </x:c>
      <x:c r="D1271" s="34" t="n">
        <x:v>1</x:v>
      </x:c>
      <x:c r="E1271" s="34" t="str">
        <x:v>TKZX</x:v>
      </x:c>
      <x:c r="F1271" s="34" t="n">
        <x:v>111136</x:v>
      </x:c>
      <x:c r="G1271" s="35" t="n">
        <x:f>IF(C1271=0,0,F1271/C1271*B1271)</x:f>
        <x:v>143.25947647523114</x:v>
      </x:c>
    </x:row>
    <x:row r="1272">
      <x:c r="A1272" s="33" t="str">
        <x:v>Castelos e Outposts</x:v>
      </x:c>
      <x:c r="B1272" s="34" t="n">
        <x:v>1950</x:v>
      </x:c>
      <x:c r="C1272" s="34" t="n">
        <x:v>1512746</x:v>
      </x:c>
      <x:c r="D1272" s="34" t="n">
        <x:v>2</x:v>
      </x:c>
      <x:c r="E1272" s="34" t="str">
        <x:v>Akuma1000</x:v>
      </x:c>
      <x:c r="F1272" s="34" t="n">
        <x:v>103809</x:v>
      </x:c>
      <x:c r="G1272" s="35" t="n">
        <x:f>IF(C1272=0,0,F1272/C1272*B1272)</x:f>
        <x:v>133.8146324630837</x:v>
      </x:c>
    </x:row>
    <x:row r="1273">
      <x:c r="A1273" s="33" t="str">
        <x:v>Castelos e Outposts</x:v>
      </x:c>
      <x:c r="B1273" s="34" t="n">
        <x:v>1950</x:v>
      </x:c>
      <x:c r="C1273" s="34" t="n">
        <x:v>1512746</x:v>
      </x:c>
      <x:c r="D1273" s="34" t="n">
        <x:v>3</x:v>
      </x:c>
      <x:c r="E1273" s="34" t="str">
        <x:v>Tmaiusculo</x:v>
      </x:c>
      <x:c r="F1273" s="34" t="n">
        <x:v>92533</x:v>
      </x:c>
      <x:c r="G1273" s="35" t="n">
        <x:f>IF(C1273=0,0,F1273/C1273*B1273)</x:f>
        <x:v>119.27934365716386</x:v>
      </x:c>
    </x:row>
    <x:row r="1274">
      <x:c r="A1274" s="33" t="str">
        <x:v>Castelos e Outposts</x:v>
      </x:c>
      <x:c r="B1274" s="34" t="n">
        <x:v>1950</x:v>
      </x:c>
      <x:c r="C1274" s="34" t="n">
        <x:v>1512746</x:v>
      </x:c>
      <x:c r="D1274" s="34" t="n">
        <x:v>4</x:v>
      </x:c>
      <x:c r="E1274" s="34" t="str">
        <x:v>A2ar</x:v>
      </x:c>
      <x:c r="F1274" s="34" t="n">
        <x:v>81352</x:v>
      </x:c>
      <x:c r="G1274" s="35" t="n">
        <x:f>IF(C1274=0,0,F1274/C1274*B1274)</x:f>
        <x:v>104.86651427271994</x:v>
      </x:c>
    </x:row>
    <x:row r="1275">
      <x:c r="A1275" s="33" t="str">
        <x:v>Castelos e Outposts</x:v>
      </x:c>
      <x:c r="B1275" s="34" t="n">
        <x:v>1950</x:v>
      </x:c>
      <x:c r="C1275" s="34" t="n">
        <x:v>1512746</x:v>
      </x:c>
      <x:c r="D1275" s="34" t="n">
        <x:v>5</x:v>
      </x:c>
      <x:c r="E1275" s="34" t="str">
        <x:v>Euhh</x:v>
      </x:c>
      <x:c r="F1275" s="34" t="n">
        <x:v>71949</x:v>
      </x:c>
      <x:c r="G1275" s="35" t="n">
        <x:f>IF(C1275=0,0,F1275/C1275*B1275)</x:f>
        <x:v>92.74560963968835</x:v>
      </x:c>
    </x:row>
    <x:row r="1276">
      <x:c r="A1276" s="33" t="str">
        <x:v>Castelos e Outposts</x:v>
      </x:c>
      <x:c r="B1276" s="34" t="n">
        <x:v>1950</x:v>
      </x:c>
      <x:c r="C1276" s="34" t="n">
        <x:v>1512746</x:v>
      </x:c>
      <x:c r="D1276" s="34" t="n">
        <x:v>6</x:v>
      </x:c>
      <x:c r="E1276" s="34" t="str">
        <x:v>MatMac</x:v>
      </x:c>
      <x:c r="F1276" s="34" t="n">
        <x:v>64006</x:v>
      </x:c>
      <x:c r="G1276" s="35" t="n">
        <x:f>IF(C1276=0,0,F1276/C1276*B1276)</x:f>
        <x:v>82.50671295776026</x:v>
      </x:c>
    </x:row>
    <x:row r="1277">
      <x:c r="A1277" s="33" t="str">
        <x:v>Castelos e Outposts</x:v>
      </x:c>
      <x:c r="B1277" s="34" t="n">
        <x:v>1950</x:v>
      </x:c>
      <x:c r="C1277" s="34" t="n">
        <x:v>1512746</x:v>
      </x:c>
      <x:c r="D1277" s="34" t="n">
        <x:v>7</x:v>
      </x:c>
      <x:c r="E1277" s="34" t="str">
        <x:v>Cominhos</x:v>
      </x:c>
      <x:c r="F1277" s="34" t="n">
        <x:v>59229</x:v>
      </x:c>
      <x:c r="G1277" s="35" t="n">
        <x:f>IF(C1277=0,0,F1277/C1277*B1277)</x:f>
        <x:v>76.34893762733466</x:v>
      </x:c>
    </x:row>
    <x:row r="1278">
      <x:c r="A1278" s="33" t="str">
        <x:v>Castelos e Outposts</x:v>
      </x:c>
      <x:c r="B1278" s="34" t="n">
        <x:v>1950</x:v>
      </x:c>
      <x:c r="C1278" s="34" t="n">
        <x:v>1512746</x:v>
      </x:c>
      <x:c r="D1278" s="34" t="n">
        <x:v>8</x:v>
      </x:c>
      <x:c r="E1278" s="34" t="str">
        <x:v>dsn</x:v>
      </x:c>
      <x:c r="F1278" s="34" t="n">
        <x:v>53112</x:v>
      </x:c>
      <x:c r="G1278" s="35" t="n">
        <x:f>IF(C1278=0,0,F1278/C1278*B1278)</x:f>
        <x:v>68.46383993082777</x:v>
      </x:c>
    </x:row>
    <x:row r="1279">
      <x:c r="A1279" s="33" t="str">
        <x:v>Castelos e Outposts</x:v>
      </x:c>
      <x:c r="B1279" s="34" t="n">
        <x:v>1950</x:v>
      </x:c>
      <x:c r="C1279" s="34" t="n">
        <x:v>1512746</x:v>
      </x:c>
      <x:c r="D1279" s="34" t="n">
        <x:v>9</x:v>
      </x:c>
      <x:c r="E1279" s="34" t="str">
        <x:v>lordkiller01</x:v>
      </x:c>
      <x:c r="F1279" s="34" t="n">
        <x:v>50902</x:v>
      </x:c>
      <x:c r="G1279" s="35" t="n">
        <x:f>IF(C1279=0,0,F1279/C1279*B1279)</x:f>
        <x:v>65.61504707333552</x:v>
      </x:c>
    </x:row>
    <x:row r="1280">
      <x:c r="A1280" s="33" t="str">
        <x:v>Castelos e Outposts</x:v>
      </x:c>
      <x:c r="B1280" s="34" t="n">
        <x:v>1950</x:v>
      </x:c>
      <x:c r="C1280" s="34" t="n">
        <x:v>1512746</x:v>
      </x:c>
      <x:c r="D1280" s="34" t="n">
        <x:v>10</x:v>
      </x:c>
      <x:c r="E1280" s="34" t="str">
        <x:v>jokker1998</x:v>
      </x:c>
      <x:c r="F1280" s="34" t="n">
        <x:v>48577</x:v>
      </x:c>
      <x:c r="G1280" s="35" t="n">
        <x:f>IF(C1280=0,0,F1280/C1280*B1280)</x:f>
        <x:v>62.618013863530294</x:v>
      </x:c>
    </x:row>
    <x:row r="1281">
      <x:c r="A1281" s="33" t="str">
        <x:v>Castelos e Outposts</x:v>
      </x:c>
      <x:c r="B1281" s="34" t="n">
        <x:v>1950</x:v>
      </x:c>
      <x:c r="C1281" s="34" t="n">
        <x:v>1512746</x:v>
      </x:c>
      <x:c r="D1281" s="34" t="n">
        <x:v>11</x:v>
      </x:c>
      <x:c r="E1281" s="34" t="str">
        <x:v>DanyV2</x:v>
      </x:c>
      <x:c r="F1281" s="34" t="n">
        <x:v>41995</x:v>
      </x:c>
      <x:c r="G1281" s="35" t="n">
        <x:f>IF(C1281=0,0,F1281/C1281*B1281)</x:f>
        <x:v>54.133509525062365</x:v>
      </x:c>
    </x:row>
    <x:row r="1282">
      <x:c r="A1282" s="33" t="str">
        <x:v>Castelos e Outposts</x:v>
      </x:c>
      <x:c r="B1282" s="34" t="n">
        <x:v>1950</x:v>
      </x:c>
      <x:c r="C1282" s="34" t="n">
        <x:v>1512746</x:v>
      </x:c>
      <x:c r="D1282" s="34" t="n">
        <x:v>12</x:v>
      </x:c>
      <x:c r="E1282" s="34" t="str">
        <x:v>jrfate</x:v>
      </x:c>
      <x:c r="F1282" s="34" t="n">
        <x:v>40963</x:v>
      </x:c>
      <x:c r="G1282" s="35" t="n">
        <x:f>IF(C1282=0,0,F1282/C1282*B1282)</x:f>
        <x:v>52.80321349387141</x:v>
      </x:c>
    </x:row>
    <x:row r="1283">
      <x:c r="A1283" s="33" t="str">
        <x:v>Castelos e Outposts</x:v>
      </x:c>
      <x:c r="B1283" s="34" t="n">
        <x:v>1950</x:v>
      </x:c>
      <x:c r="C1283" s="34" t="n">
        <x:v>1512746</x:v>
      </x:c>
      <x:c r="D1283" s="34" t="n">
        <x:v>13</x:v>
      </x:c>
      <x:c r="E1283" s="34" t="str">
        <x:v>Nandixx</x:v>
      </x:c>
      <x:c r="F1283" s="34" t="n">
        <x:v>39318</x:v>
      </x:c>
      <x:c r="G1283" s="35" t="n">
        <x:f>IF(C1283=0,0,F1283/C1283*B1283)</x:f>
        <x:v>50.68273193252535</x:v>
      </x:c>
    </x:row>
    <x:row r="1284">
      <x:c r="A1284" s="33" t="str">
        <x:v>Castelos e Outposts</x:v>
      </x:c>
      <x:c r="B1284" s="34" t="n">
        <x:v>1950</x:v>
      </x:c>
      <x:c r="C1284" s="34" t="n">
        <x:v>1512746</x:v>
      </x:c>
      <x:c r="D1284" s="34" t="n">
        <x:v>14</x:v>
      </x:c>
      <x:c r="E1284" s="34" t="str">
        <x:v>imdonedontkillme</x:v>
      </x:c>
      <x:c r="F1284" s="34" t="n">
        <x:v>36712</x:v>
      </x:c>
      <x:c r="G1284" s="35" t="n">
        <x:f>IF(C1284=0,0,F1284/C1284*B1284)</x:f>
        <x:v>47.32347664445981</x:v>
      </x:c>
    </x:row>
    <x:row r="1285">
      <x:c r="A1285" s="33" t="str">
        <x:v>Castelos e Outposts</x:v>
      </x:c>
      <x:c r="B1285" s="34" t="n">
        <x:v>1950</x:v>
      </x:c>
      <x:c r="C1285" s="34" t="n">
        <x:v>1512746</x:v>
      </x:c>
      <x:c r="D1285" s="34" t="n">
        <x:v>15</x:v>
      </x:c>
      <x:c r="E1285" s="34" t="str">
        <x:v>vadisley</x:v>
      </x:c>
      <x:c r="F1285" s="34" t="n">
        <x:v>35608</x:v>
      </x:c>
      <x:c r="G1285" s="35" t="n">
        <x:f>IF(C1285=0,0,F1285/C1285*B1285)</x:f>
        <x:v>45.90036926225553</x:v>
      </x:c>
    </x:row>
    <x:row r="1286">
      <x:c r="A1286" s="33" t="str">
        <x:v>Castelos e Outposts</x:v>
      </x:c>
      <x:c r="B1286" s="34" t="n">
        <x:v>1950</x:v>
      </x:c>
      <x:c r="C1286" s="34" t="n">
        <x:v>1512746</x:v>
      </x:c>
      <x:c r="D1286" s="34" t="n">
        <x:v>16</x:v>
      </x:c>
      <x:c r="E1286" s="34" t="str">
        <x:v>MineMim</x:v>
      </x:c>
      <x:c r="F1286" s="34" t="n">
        <x:v>32555</x:v>
      </x:c>
      <x:c r="G1286" s="35" t="n">
        <x:f>IF(C1286=0,0,F1286/C1286*B1286)</x:f>
        <x:v>41.96491016998227</x:v>
      </x:c>
    </x:row>
    <x:row r="1287">
      <x:c r="A1287" s="33" t="str">
        <x:v>Castelos e Outposts</x:v>
      </x:c>
      <x:c r="B1287" s="34" t="n">
        <x:v>1950</x:v>
      </x:c>
      <x:c r="C1287" s="34" t="n">
        <x:v>1512746</x:v>
      </x:c>
      <x:c r="D1287" s="34" t="n">
        <x:v>17</x:v>
      </x:c>
      <x:c r="E1287" s="34" t="str">
        <x:v>Yuangii</x:v>
      </x:c>
      <x:c r="F1287" s="34" t="n">
        <x:v>29844</x:v>
      </x:c>
      <x:c r="G1287" s="35" t="n">
        <x:f>IF(C1287=0,0,F1287/C1287*B1287)</x:f>
        <x:v>38.470304995022296</x:v>
      </x:c>
    </x:row>
    <x:row r="1288">
      <x:c r="A1288" s="33" t="str">
        <x:v>Castelos e Outposts</x:v>
      </x:c>
      <x:c r="B1288" s="34" t="n">
        <x:v>1950</x:v>
      </x:c>
      <x:c r="C1288" s="34" t="n">
        <x:v>1512746</x:v>
      </x:c>
      <x:c r="D1288" s="34" t="n">
        <x:v>18</x:v>
      </x:c>
      <x:c r="E1288" s="34" t="str">
        <x:v>VULTO</x:v>
      </x:c>
      <x:c r="F1288" s="34" t="n">
        <x:v>29660</x:v>
      </x:c>
      <x:c r="G1288" s="35" t="n">
        <x:f>IF(C1288=0,0,F1288/C1288*B1288)</x:f>
        <x:v>38.23312043132159</x:v>
      </x:c>
    </x:row>
    <x:row r="1289">
      <x:c r="A1289" s="33" t="str">
        <x:v>Castelos e Outposts</x:v>
      </x:c>
      <x:c r="B1289" s="34" t="n">
        <x:v>1950</x:v>
      </x:c>
      <x:c r="C1289" s="34" t="n">
        <x:v>1512746</x:v>
      </x:c>
      <x:c r="D1289" s="34" t="n">
        <x:v>19</x:v>
      </x:c>
      <x:c r="E1289" s="34" t="str">
        <x:v>OniGuM000</x:v>
      </x:c>
      <x:c r="F1289" s="34" t="n">
        <x:v>25921</x:v>
      </x:c>
      <x:c r="G1289" s="35" t="n">
        <x:f>IF(C1289=0,0,F1289/C1289*B1289)</x:f>
        <x:v>33.41337541133805</x:v>
      </x:c>
    </x:row>
    <x:row r="1290">
      <x:c r="A1290" s="33" t="str">
        <x:v>Castelos e Outposts</x:v>
      </x:c>
      <x:c r="B1290" s="34" t="n">
        <x:v>1950</x:v>
      </x:c>
      <x:c r="C1290" s="34" t="n">
        <x:v>1512746</x:v>
      </x:c>
      <x:c r="D1290" s="34" t="n">
        <x:v>20</x:v>
      </x:c>
      <x:c r="E1290" s="34" t="str">
        <x:v>Jmbv</x:v>
      </x:c>
      <x:c r="F1290" s="34" t="n">
        <x:v>25135</x:v>
      </x:c>
      <x:c r="G1290" s="35" t="n">
        <x:f>IF(C1290=0,0,F1290/C1290*B1290)</x:f>
        <x:v>32.400184829442615</x:v>
      </x:c>
    </x:row>
    <x:row r="1291">
      <x:c r="A1291" s="33" t="str">
        <x:v>Castelos e Outposts</x:v>
      </x:c>
      <x:c r="B1291" s="34" t="n">
        <x:v>1950</x:v>
      </x:c>
      <x:c r="C1291" s="34" t="n">
        <x:v>1512746</x:v>
      </x:c>
      <x:c r="D1291" s="34" t="n">
        <x:v>21</x:v>
      </x:c>
      <x:c r="E1291" s="34" t="str">
        <x:v>PlantsTK</x:v>
      </x:c>
      <x:c r="F1291" s="34" t="n">
        <x:v>24291</x:v>
      </x:c>
      <x:c r="G1291" s="35" t="n">
        <x:f>IF(C1291=0,0,F1291/C1291*B1291)</x:f>
        <x:v>31.312229548119777</x:v>
      </x:c>
    </x:row>
    <x:row r="1292">
      <x:c r="A1292" s="33" t="str">
        <x:v>Castelos e Outposts</x:v>
      </x:c>
      <x:c r="B1292" s="34" t="n">
        <x:v>1950</x:v>
      </x:c>
      <x:c r="C1292" s="34" t="n">
        <x:v>1512746</x:v>
      </x:c>
      <x:c r="D1292" s="34" t="n">
        <x:v>22</x:v>
      </x:c>
      <x:c r="E1292" s="34" t="str">
        <x:v>minhafemea1</x:v>
      </x:c>
      <x:c r="F1292" s="34" t="n">
        <x:v>20778</x:v>
      </x:c>
      <x:c r="G1292" s="35" t="n">
        <x:f>IF(C1292=0,0,F1292/C1292*B1292)</x:f>
        <x:v>26.783809046594733</x:v>
      </x:c>
    </x:row>
    <x:row r="1293">
      <x:c r="A1293" s="33" t="str">
        <x:v>Castelos e Outposts</x:v>
      </x:c>
      <x:c r="B1293" s="34" t="n">
        <x:v>1950</x:v>
      </x:c>
      <x:c r="C1293" s="34" t="n">
        <x:v>1512746</x:v>
      </x:c>
      <x:c r="D1293" s="34" t="n">
        <x:v>23</x:v>
      </x:c>
      <x:c r="E1293" s="34" t="str">
        <x:v>KuNaKiNa</x:v>
      </x:c>
      <x:c r="F1293" s="34" t="n">
        <x:v>20139</x:v>
      </x:c>
      <x:c r="G1293" s="35" t="n">
        <x:f>IF(C1293=0,0,F1293/C1293*B1293)</x:f>
        <x:v>25.960108306351497</x:v>
      </x:c>
    </x:row>
    <x:row r="1294">
      <x:c r="A1294" s="33" t="str">
        <x:v>Castelos e Outposts</x:v>
      </x:c>
      <x:c r="B1294" s="34" t="n">
        <x:v>1950</x:v>
      </x:c>
      <x:c r="C1294" s="34" t="n">
        <x:v>1512746</x:v>
      </x:c>
      <x:c r="D1294" s="34" t="n">
        <x:v>24</x:v>
      </x:c>
      <x:c r="E1294" s="34" t="str">
        <x:v>maicon1357</x:v>
      </x:c>
      <x:c r="F1294" s="34" t="n">
        <x:v>19960</x:v>
      </x:c>
      <x:c r="G1294" s="35" t="n">
        <x:f>IF(C1294=0,0,F1294/C1294*B1294)</x:f>
        <x:v>25.72936897536004</x:v>
      </x:c>
    </x:row>
    <x:row r="1295">
      <x:c r="A1295" s="33" t="str">
        <x:v>Castelos e Outposts</x:v>
      </x:c>
      <x:c r="B1295" s="34" t="n">
        <x:v>1950</x:v>
      </x:c>
      <x:c r="C1295" s="34" t="n">
        <x:v>1512746</x:v>
      </x:c>
      <x:c r="D1295" s="34" t="n">
        <x:v>25</x:v>
      </x:c>
      <x:c r="E1295" s="34" t="str">
        <x:v>BSAIGunner</x:v>
      </x:c>
      <x:c r="F1295" s="34" t="n">
        <x:v>17962</x:v>
      </x:c>
      <x:c r="G1295" s="35" t="n">
        <x:f>IF(C1295=0,0,F1295/C1295*B1295)</x:f>
        <x:v>23.153853984740334</x:v>
      </x:c>
    </x:row>
    <x:row r="1296">
      <x:c r="A1296" s="33" t="str">
        <x:v>Castelos e Outposts</x:v>
      </x:c>
      <x:c r="B1296" s="34" t="n">
        <x:v>1950</x:v>
      </x:c>
      <x:c r="C1296" s="34" t="n">
        <x:v>1512746</x:v>
      </x:c>
      <x:c r="D1296" s="34" t="n">
        <x:v>26</x:v>
      </x:c>
      <x:c r="E1296" s="34" t="str">
        <x:v>Sabedoria7</x:v>
      </x:c>
      <x:c r="F1296" s="34" t="n">
        <x:v>17883</x:v>
      </x:c>
      <x:c r="G1296" s="35" t="n">
        <x:f>IF(C1296=0,0,F1296/C1296*B1296)</x:f>
        <x:v>23.05201930793405</x:v>
      </x:c>
    </x:row>
    <x:row r="1297">
      <x:c r="A1297" s="33" t="str">
        <x:v>Castelos e Outposts</x:v>
      </x:c>
      <x:c r="B1297" s="34" t="n">
        <x:v>1950</x:v>
      </x:c>
      <x:c r="C1297" s="34" t="n">
        <x:v>1512746</x:v>
      </x:c>
      <x:c r="D1297" s="34" t="n">
        <x:v>27</x:v>
      </x:c>
      <x:c r="E1297" s="34" t="str">
        <x:v>SerpentVeil</x:v>
      </x:c>
      <x:c r="F1297" s="34" t="n">
        <x:v>16657</x:v>
      </x:c>
      <x:c r="G1297" s="35" t="n">
        <x:f>IF(C1297=0,0,F1297/C1297*B1297)</x:f>
        <x:v>21.471648247623857</x:v>
      </x:c>
    </x:row>
    <x:row r="1298">
      <x:c r="A1298" s="33" t="str">
        <x:v>Castelos e Outposts</x:v>
      </x:c>
      <x:c r="B1298" s="34" t="n">
        <x:v>1950</x:v>
      </x:c>
      <x:c r="C1298" s="34" t="n">
        <x:v>1512746</x:v>
      </x:c>
      <x:c r="D1298" s="34" t="n">
        <x:v>28</x:v>
      </x:c>
      <x:c r="E1298" s="34" t="str">
        <x:v>goncalves23</x:v>
      </x:c>
      <x:c r="F1298" s="34" t="n">
        <x:v>16357</x:v>
      </x:c>
      <x:c r="G1298" s="35" t="n">
        <x:f>IF(C1298=0,0,F1298/C1298*B1298)</x:f>
        <x:v>21.084934285068346</x:v>
      </x:c>
    </x:row>
    <x:row r="1299">
      <x:c r="A1299" s="33" t="str">
        <x:v>Castelos e Outposts</x:v>
      </x:c>
      <x:c r="B1299" s="34" t="n">
        <x:v>1950</x:v>
      </x:c>
      <x:c r="C1299" s="34" t="n">
        <x:v>1512746</x:v>
      </x:c>
      <x:c r="D1299" s="34" t="n">
        <x:v>29</x:v>
      </x:c>
      <x:c r="E1299" s="34" t="str">
        <x:v>Groom84</x:v>
      </x:c>
      <x:c r="F1299" s="34" t="n">
        <x:v>16332</x:v>
      </x:c>
      <x:c r="G1299" s="35" t="n">
        <x:f>IF(C1299=0,0,F1299/C1299*B1299)</x:f>
        <x:v>21.052708121522052</x:v>
      </x:c>
    </x:row>
    <x:row r="1300">
      <x:c r="A1300" s="33" t="str">
        <x:v>Castelos e Outposts</x:v>
      </x:c>
      <x:c r="B1300" s="34" t="n">
        <x:v>1950</x:v>
      </x:c>
      <x:c r="C1300" s="34" t="n">
        <x:v>1512746</x:v>
      </x:c>
      <x:c r="D1300" s="34" t="n">
        <x:v>30</x:v>
      </x:c>
      <x:c r="E1300" s="34" t="str">
        <x:v>theYousek</x:v>
      </x:c>
      <x:c r="F1300" s="34" t="n">
        <x:v>16154</x:v>
      </x:c>
      <x:c r="G1300" s="35" t="n">
        <x:f>IF(C1300=0,0,F1300/C1300*B1300)</x:f>
        <x:v>20.82325783707245</x:v>
      </x:c>
    </x:row>
    <x:row r="1301">
      <x:c r="A1301" s="33" t="str">
        <x:v>Castelos e Outposts</x:v>
      </x:c>
      <x:c r="B1301" s="34" t="n">
        <x:v>1950</x:v>
      </x:c>
      <x:c r="C1301" s="34" t="n">
        <x:v>1512746</x:v>
      </x:c>
      <x:c r="D1301" s="34" t="n">
        <x:v>31</x:v>
      </x:c>
      <x:c r="E1301" s="34" t="str">
        <x:v>Lumen821</x:v>
      </x:c>
      <x:c r="F1301" s="34" t="n">
        <x:v>14450</x:v>
      </x:c>
      <x:c r="G1301" s="35" t="n">
        <x:f>IF(C1301=0,0,F1301/C1301*B1301)</x:f>
        <x:v>18.626722529757146</x:v>
      </x:c>
    </x:row>
    <x:row r="1302">
      <x:c r="A1302" s="33" t="str">
        <x:v>Castelos e Outposts</x:v>
      </x:c>
      <x:c r="B1302" s="34" t="n">
        <x:v>1950</x:v>
      </x:c>
      <x:c r="C1302" s="34" t="n">
        <x:v>1512746</x:v>
      </x:c>
      <x:c r="D1302" s="34" t="n">
        <x:v>32</x:v>
      </x:c>
      <x:c r="E1302" s="34" t="str">
        <x:v>MaxHardcore</x:v>
      </x:c>
      <x:c r="F1302" s="34" t="n">
        <x:v>13976</x:v>
      </x:c>
      <x:c r="G1302" s="35" t="n">
        <x:f>IF(C1302=0,0,F1302/C1302*B1302)</x:f>
        <x:v>18.015714468919434</x:v>
      </x:c>
    </x:row>
    <x:row r="1303">
      <x:c r="A1303" s="33" t="str">
        <x:v>Castelos e Outposts</x:v>
      </x:c>
      <x:c r="B1303" s="34" t="n">
        <x:v>1950</x:v>
      </x:c>
      <x:c r="C1303" s="34" t="n">
        <x:v>1512746</x:v>
      </x:c>
      <x:c r="D1303" s="34" t="n">
        <x:v>33</x:v>
      </x:c>
      <x:c r="E1303" s="34" t="str">
        <x:v>VTracer</x:v>
      </x:c>
      <x:c r="F1303" s="34" t="n">
        <x:v>13340</x:v>
      </x:c>
      <x:c r="G1303" s="35" t="n">
        <x:f>IF(C1303=0,0,F1303/C1303*B1303)</x:f>
        <x:v>17.19588086830175</x:v>
      </x:c>
    </x:row>
    <x:row r="1304">
      <x:c r="A1304" s="33" t="str">
        <x:v>Castelos e Outposts</x:v>
      </x:c>
      <x:c r="B1304" s="34" t="n">
        <x:v>1950</x:v>
      </x:c>
      <x:c r="C1304" s="34" t="n">
        <x:v>1512746</x:v>
      </x:c>
      <x:c r="D1304" s="34" t="n">
        <x:v>34</x:v>
      </x:c>
      <x:c r="E1304" s="34" t="str">
        <x:v>Patolas</x:v>
      </x:c>
      <x:c r="F1304" s="34" t="n">
        <x:v>13057</x:v>
      </x:c>
      <x:c r="G1304" s="35" t="n">
        <x:f>IF(C1304=0,0,F1304/C1304*B1304)</x:f>
        <x:v>16.83108069695772</x:v>
      </x:c>
    </x:row>
    <x:row r="1305">
      <x:c r="A1305" s="33" t="str">
        <x:v>Castelos e Outposts</x:v>
      </x:c>
      <x:c r="B1305" s="34" t="n">
        <x:v>1950</x:v>
      </x:c>
      <x:c r="C1305" s="34" t="n">
        <x:v>1512746</x:v>
      </x:c>
      <x:c r="D1305" s="34" t="n">
        <x:v>35</x:v>
      </x:c>
      <x:c r="E1305" s="34" t="str">
        <x:v>Sum0l</x:v>
      </x:c>
      <x:c r="F1305" s="34" t="n">
        <x:v>12883</x:v>
      </x:c>
      <x:c r="G1305" s="35" t="n">
        <x:f>IF(C1305=0,0,F1305/C1305*B1305)</x:f>
        <x:v>16.606786598675523</x:v>
      </x:c>
    </x:row>
    <x:row r="1306">
      <x:c r="A1306" s="33" t="str">
        <x:v>Castelos e Outposts</x:v>
      </x:c>
      <x:c r="B1306" s="34" t="n">
        <x:v>1950</x:v>
      </x:c>
      <x:c r="C1306" s="34" t="n">
        <x:v>1512746</x:v>
      </x:c>
      <x:c r="D1306" s="34" t="n">
        <x:v>36</x:v>
      </x:c>
      <x:c r="E1306" s="34" t="str">
        <x:v>Natsury</x:v>
      </x:c>
      <x:c r="F1306" s="34" t="n">
        <x:v>12488</x:v>
      </x:c>
      <x:c r="G1306" s="35" t="n">
        <x:f>IF(C1306=0,0,F1306/C1306*B1306)</x:f>
        <x:v>16.0976132146441</x:v>
      </x:c>
    </x:row>
    <x:row r="1307">
      <x:c r="A1307" s="33" t="str">
        <x:v>Castelos e Outposts</x:v>
      </x:c>
      <x:c r="B1307" s="34" t="n">
        <x:v>1950</x:v>
      </x:c>
      <x:c r="C1307" s="34" t="n">
        <x:v>1512746</x:v>
      </x:c>
      <x:c r="D1307" s="34" t="n">
        <x:v>37</x:v>
      </x:c>
      <x:c r="E1307" s="34" t="str">
        <x:v>Nagacaburos</x:v>
      </x:c>
      <x:c r="F1307" s="34" t="n">
        <x:v>11834</x:v>
      </x:c>
      <x:c r="G1307" s="35" t="n">
        <x:f>IF(C1307=0,0,F1307/C1307*B1307)</x:f>
        <x:v>15.254576776273082</x:v>
      </x:c>
    </x:row>
    <x:row r="1308">
      <x:c r="A1308" s="33" t="str">
        <x:v>Castelos e Outposts</x:v>
      </x:c>
      <x:c r="B1308" s="34" t="n">
        <x:v>1950</x:v>
      </x:c>
      <x:c r="C1308" s="34" t="n">
        <x:v>1512746</x:v>
      </x:c>
      <x:c r="D1308" s="34" t="n">
        <x:v>38</x:v>
      </x:c>
      <x:c r="E1308" s="34" t="str">
        <x:v>Davimix</x:v>
      </x:c>
      <x:c r="F1308" s="34" t="n">
        <x:v>11012</x:v>
      </x:c>
      <x:c r="G1308" s="35" t="n">
        <x:f>IF(C1308=0,0,F1308/C1308*B1308)</x:f>
        <x:v>14.194980518870981</x:v>
      </x:c>
    </x:row>
    <x:row r="1309">
      <x:c r="A1309" s="33" t="str">
        <x:v>Castelos e Outposts</x:v>
      </x:c>
      <x:c r="B1309" s="34" t="n">
        <x:v>1950</x:v>
      </x:c>
      <x:c r="C1309" s="34" t="n">
        <x:v>1512746</x:v>
      </x:c>
      <x:c r="D1309" s="34" t="n">
        <x:v>39</x:v>
      </x:c>
      <x:c r="E1309" s="34" t="str">
        <x:v>Temperamental</x:v>
      </x:c>
      <x:c r="F1309" s="34" t="n">
        <x:v>10430</x:v>
      </x:c>
      <x:c r="G1309" s="35" t="n">
        <x:f>IF(C1309=0,0,F1309/C1309*B1309)</x:f>
        <x:v>13.444755431513288</x:v>
      </x:c>
    </x:row>
    <x:row r="1310">
      <x:c r="A1310" s="33" t="str">
        <x:v>Castelos e Outposts</x:v>
      </x:c>
      <x:c r="B1310" s="34" t="n">
        <x:v>1950</x:v>
      </x:c>
      <x:c r="C1310" s="34" t="n">
        <x:v>1512746</x:v>
      </x:c>
      <x:c r="D1310" s="34" t="n">
        <x:v>40</x:v>
      </x:c>
      <x:c r="E1310" s="34" t="str">
        <x:v>MYLOLA262</x:v>
      </x:c>
      <x:c r="F1310" s="34" t="n">
        <x:v>10421</x:v>
      </x:c>
      <x:c r="G1310" s="35" t="n">
        <x:f>IF(C1310=0,0,F1310/C1310*B1310)</x:f>
        <x:v>13.433154012636622</x:v>
      </x:c>
    </x:row>
    <x:row r="1311">
      <x:c r="A1311" s="33" t="str">
        <x:v>Castelos e Outposts</x:v>
      </x:c>
      <x:c r="B1311" s="34" t="n">
        <x:v>1950</x:v>
      </x:c>
      <x:c r="C1311" s="34" t="n">
        <x:v>1512746</x:v>
      </x:c>
      <x:c r="D1311" s="34" t="n">
        <x:v>41</x:v>
      </x:c>
      <x:c r="E1311" s="34" t="str">
        <x:v>CunaPrata</x:v>
      </x:c>
      <x:c r="F1311" s="34" t="n">
        <x:v>9197</x:v>
      </x:c>
      <x:c r="G1311" s="35" t="n">
        <x:f>IF(C1311=0,0,F1311/C1311*B1311)</x:f>
        <x:v>11.855361045410135</x:v>
      </x:c>
    </x:row>
    <x:row r="1312">
      <x:c r="A1312" s="33" t="str">
        <x:v>Castelos e Outposts</x:v>
      </x:c>
      <x:c r="B1312" s="34" t="n">
        <x:v>1950</x:v>
      </x:c>
      <x:c r="C1312" s="34" t="n">
        <x:v>1512746</x:v>
      </x:c>
      <x:c r="D1312" s="34" t="n">
        <x:v>42</x:v>
      </x:c>
      <x:c r="E1312" s="34" t="str">
        <x:v>Soldier027</x:v>
      </x:c>
      <x:c r="F1312" s="34" t="n">
        <x:v>8612</x:v>
      </x:c>
      <x:c r="G1312" s="35" t="n">
        <x:f>IF(C1312=0,0,F1312/C1312*B1312)</x:f>
        <x:v>11.101268818426886</x:v>
      </x:c>
    </x:row>
    <x:row r="1313">
      <x:c r="A1313" s="33" t="str">
        <x:v>Castelos e Outposts</x:v>
      </x:c>
      <x:c r="B1313" s="34" t="n">
        <x:v>1950</x:v>
      </x:c>
      <x:c r="C1313" s="34" t="n">
        <x:v>1512746</x:v>
      </x:c>
      <x:c r="D1313" s="34" t="n">
        <x:v>43</x:v>
      </x:c>
      <x:c r="E1313" s="34" t="str">
        <x:v>Guislave</x:v>
      </x:c>
      <x:c r="F1313" s="34" t="n">
        <x:v>8328</x:v>
      </x:c>
      <x:c r="G1313" s="35" t="n">
        <x:f>IF(C1313=0,0,F1313/C1313*B1313)</x:f>
        <x:v>10.735179600541002</x:v>
      </x:c>
    </x:row>
    <x:row r="1314">
      <x:c r="A1314" s="33" t="str">
        <x:v>Castelos e Outposts</x:v>
      </x:c>
      <x:c r="B1314" s="34" t="n">
        <x:v>1950</x:v>
      </x:c>
      <x:c r="C1314" s="34" t="n">
        <x:v>1512746</x:v>
      </x:c>
      <x:c r="D1314" s="34" t="n">
        <x:v>44</x:v>
      </x:c>
      <x:c r="E1314" s="34" t="str">
        <x:v>WellITKD</x:v>
      </x:c>
      <x:c r="F1314" s="34" t="n">
        <x:v>8247</x:v>
      </x:c>
      <x:c r="G1314" s="35" t="n">
        <x:f>IF(C1314=0,0,F1314/C1314*B1314)</x:f>
        <x:v>10.630766830651014</x:v>
      </x:c>
    </x:row>
    <x:row r="1315">
      <x:c r="A1315" s="33" t="str">
        <x:v>Castelos e Outposts</x:v>
      </x:c>
      <x:c r="B1315" s="34" t="n">
        <x:v>1950</x:v>
      </x:c>
      <x:c r="C1315" s="34" t="n">
        <x:v>1512746</x:v>
      </x:c>
      <x:c r="D1315" s="34" t="n">
        <x:v>45</x:v>
      </x:c>
      <x:c r="E1315" s="34" t="str">
        <x:v>Hlinha</x:v>
      </x:c>
      <x:c r="F1315" s="34" t="n">
        <x:v>8076</x:v>
      </x:c>
      <x:c r="G1315" s="35" t="n">
        <x:f>IF(C1315=0,0,F1315/C1315*B1315)</x:f>
        <x:v>10.410339871994374</x:v>
      </x:c>
    </x:row>
    <x:row r="1316">
      <x:c r="A1316" s="33" t="str">
        <x:v>Castelos e Outposts</x:v>
      </x:c>
      <x:c r="B1316" s="34" t="n">
        <x:v>1950</x:v>
      </x:c>
      <x:c r="C1316" s="34" t="n">
        <x:v>1512746</x:v>
      </x:c>
      <x:c r="D1316" s="34" t="n">
        <x:v>46</x:v>
      </x:c>
      <x:c r="E1316" s="34" t="str">
        <x:v>Karz1N</x:v>
      </x:c>
      <x:c r="F1316" s="34" t="n">
        <x:v>7341</x:v>
      </x:c>
      <x:c r="G1316" s="35" t="n">
        <x:f>IF(C1316=0,0,F1316/C1316*B1316)</x:f>
        <x:v>9.46289066373337</x:v>
      </x:c>
    </x:row>
    <x:row r="1317">
      <x:c r="A1317" s="33" t="str">
        <x:v>Castelos e Outposts</x:v>
      </x:c>
      <x:c r="B1317" s="34" t="n">
        <x:v>1950</x:v>
      </x:c>
      <x:c r="C1317" s="34" t="n">
        <x:v>1512746</x:v>
      </x:c>
      <x:c r="D1317" s="34" t="n">
        <x:v>47</x:v>
      </x:c>
      <x:c r="E1317" s="34" t="str">
        <x:v>RobertXVII</x:v>
      </x:c>
      <x:c r="F1317" s="34" t="n">
        <x:v>7174</x:v>
      </x:c>
      <x:c r="G1317" s="35" t="n">
        <x:f>IF(C1317=0,0,F1317/C1317*B1317)</x:f>
        <x:v>9.247619891244135</x:v>
      </x:c>
    </x:row>
    <x:row r="1318">
      <x:c r="A1318" s="33" t="str">
        <x:v>Castelos e Outposts</x:v>
      </x:c>
      <x:c r="B1318" s="34" t="n">
        <x:v>1950</x:v>
      </x:c>
      <x:c r="C1318" s="34" t="n">
        <x:v>1512746</x:v>
      </x:c>
      <x:c r="D1318" s="34" t="n">
        <x:v>48</x:v>
      </x:c>
      <x:c r="E1318" s="34" t="str">
        <x:v>HolyGyat2324</x:v>
      </x:c>
      <x:c r="F1318" s="34" t="n">
        <x:v>6851</x:v>
      </x:c>
      <x:c r="G1318" s="35" t="n">
        <x:f>IF(C1318=0,0,F1318/C1318*B1318)</x:f>
        <x:v>8.831257858226033</x:v>
      </x:c>
    </x:row>
    <x:row r="1319">
      <x:c r="A1319" s="33" t="str">
        <x:v>Castelos e Outposts</x:v>
      </x:c>
      <x:c r="B1319" s="34" t="n">
        <x:v>1950</x:v>
      </x:c>
      <x:c r="C1319" s="34" t="n">
        <x:v>1512746</x:v>
      </x:c>
      <x:c r="D1319" s="34" t="n">
        <x:v>49</x:v>
      </x:c>
      <x:c r="E1319" s="34" t="str">
        <x:v>Jabiroca1</x:v>
      </x:c>
      <x:c r="F1319" s="34" t="n">
        <x:v>6284</x:v>
      </x:c>
      <x:c r="G1319" s="35" t="n">
        <x:f>IF(C1319=0,0,F1319/C1319*B1319)</x:f>
        <x:v>8.100368468996116</x:v>
      </x:c>
    </x:row>
    <x:row r="1320">
      <x:c r="A1320" s="33" t="str">
        <x:v>Castelos e Outposts</x:v>
      </x:c>
      <x:c r="B1320" s="34" t="n">
        <x:v>1950</x:v>
      </x:c>
      <x:c r="C1320" s="34" t="n">
        <x:v>1512746</x:v>
      </x:c>
      <x:c r="D1320" s="34" t="n">
        <x:v>50</x:v>
      </x:c>
      <x:c r="E1320" s="34" t="str">
        <x:v>Hi6or</x:v>
      </x:c>
      <x:c r="F1320" s="34" t="n">
        <x:v>5564</x:v>
      </x:c>
      <x:c r="G1320" s="35" t="n">
        <x:f>IF(C1320=0,0,F1320/C1320*B1320)</x:f>
        <x:v>7.172254958862889</x:v>
      </x:c>
    </x:row>
    <x:row r="1321">
      <x:c r="A1321" s="33" t="str">
        <x:v>Castelos e Outposts</x:v>
      </x:c>
      <x:c r="B1321" s="34" t="n">
        <x:v>1950</x:v>
      </x:c>
      <x:c r="C1321" s="34" t="n">
        <x:v>1512746</x:v>
      </x:c>
      <x:c r="D1321" s="34" t="n">
        <x:v>51</x:v>
      </x:c>
      <x:c r="E1321" s="34" t="str">
        <x:v>Dorfiuses</x:v>
      </x:c>
      <x:c r="F1321" s="34" t="n">
        <x:v>4976</x:v>
      </x:c>
      <x:c r="G1321" s="35" t="n">
        <x:f>IF(C1321=0,0,F1321/C1321*B1321)</x:f>
        <x:v>6.414295592254086</x:v>
      </x:c>
    </x:row>
    <x:row r="1322">
      <x:c r="A1322" s="33" t="str">
        <x:v>Castelos e Outposts</x:v>
      </x:c>
      <x:c r="B1322" s="34" t="n">
        <x:v>1950</x:v>
      </x:c>
      <x:c r="C1322" s="34" t="n">
        <x:v>1512746</x:v>
      </x:c>
      <x:c r="D1322" s="34" t="n">
        <x:v>52</x:v>
      </x:c>
      <x:c r="E1322" s="34" t="str">
        <x:v>Amakv</x:v>
      </x:c>
      <x:c r="F1322" s="34" t="n">
        <x:v>4757</x:v>
      </x:c>
      <x:c r="G1322" s="35" t="n">
        <x:f>IF(C1322=0,0,F1322/C1322*B1322)</x:f>
        <x:v>6.131994399588563</x:v>
      </x:c>
    </x:row>
    <x:row r="1323">
      <x:c r="A1323" s="33" t="str">
        <x:v>Castelos e Outposts</x:v>
      </x:c>
      <x:c r="B1323" s="34" t="n">
        <x:v>1950</x:v>
      </x:c>
      <x:c r="C1323" s="34" t="n">
        <x:v>1512746</x:v>
      </x:c>
      <x:c r="D1323" s="34" t="n">
        <x:v>53</x:v>
      </x:c>
      <x:c r="E1323" s="34" t="str">
        <x:v>MonetaryMike</x:v>
      </x:c>
      <x:c r="F1323" s="34" t="n">
        <x:v>4342</x:v>
      </x:c>
      <x:c r="G1323" s="35" t="n">
        <x:f>IF(C1323=0,0,F1323/C1323*B1323)</x:f>
        <x:v>5.597040084720105</x:v>
      </x:c>
    </x:row>
    <x:row r="1324">
      <x:c r="A1324" s="33" t="str">
        <x:v>Castelos e Outposts</x:v>
      </x:c>
      <x:c r="B1324" s="34" t="n">
        <x:v>1950</x:v>
      </x:c>
      <x:c r="C1324" s="34" t="n">
        <x:v>1512746</x:v>
      </x:c>
      <x:c r="D1324" s="34" t="n">
        <x:v>54</x:v>
      </x:c>
      <x:c r="E1324" s="34" t="str">
        <x:v>Lamusk</x:v>
      </x:c>
      <x:c r="F1324" s="34" t="n">
        <x:v>3663</x:v>
      </x:c>
      <x:c r="G1324" s="35" t="n">
        <x:f>IF(C1324=0,0,F1324/C1324*B1324)</x:f>
        <x:v>4.721777482802796</x:v>
      </x:c>
    </x:row>
    <x:row r="1325">
      <x:c r="A1325" s="33" t="str">
        <x:v>Castelos e Outposts</x:v>
      </x:c>
      <x:c r="B1325" s="34" t="n">
        <x:v>1950</x:v>
      </x:c>
      <x:c r="C1325" s="34" t="n">
        <x:v>1512746</x:v>
      </x:c>
      <x:c r="D1325" s="34" t="n">
        <x:v>55</x:v>
      </x:c>
      <x:c r="E1325" s="34" t="str">
        <x:v>teessa</x:v>
      </x:c>
      <x:c r="F1325" s="34" t="n">
        <x:v>3205</x:v>
      </x:c>
      <x:c r="G1325" s="35" t="n">
        <x:f>IF(C1325=0,0,F1325/C1325*B1325)</x:f>
        <x:v>4.131394166634716</x:v>
      </x:c>
    </x:row>
    <x:row r="1326">
      <x:c r="A1326" s="33" t="str">
        <x:v>Castelos e Outposts</x:v>
      </x:c>
      <x:c r="B1326" s="34" t="n">
        <x:v>1950</x:v>
      </x:c>
      <x:c r="C1326" s="34" t="n">
        <x:v>1512746</x:v>
      </x:c>
      <x:c r="D1326" s="34" t="n">
        <x:v>56</x:v>
      </x:c>
      <x:c r="E1326" s="34" t="str">
        <x:v>LuiziN</x:v>
      </x:c>
      <x:c r="F1326" s="34" t="n">
        <x:v>2922</x:v>
      </x:c>
      <x:c r="G1326" s="35" t="n">
        <x:f>IF(C1326=0,0,F1326/C1326*B1326)</x:f>
        <x:v>3.7665939952906835</x:v>
      </x:c>
    </x:row>
    <x:row r="1327">
      <x:c r="A1327" s="33" t="str">
        <x:v>Castelos e Outposts</x:v>
      </x:c>
      <x:c r="B1327" s="34" t="n">
        <x:v>1950</x:v>
      </x:c>
      <x:c r="C1327" s="34" t="n">
        <x:v>1512746</x:v>
      </x:c>
      <x:c r="D1327" s="34" t="n">
        <x:v>57</x:v>
      </x:c>
      <x:c r="E1327" s="34" t="str">
        <x:v>kadigo</x:v>
      </x:c>
      <x:c r="F1327" s="34" t="n">
        <x:v>2895</x:v>
      </x:c>
      <x:c r="G1327" s="35" t="n">
        <x:f>IF(C1327=0,0,F1327/C1327*B1327)</x:f>
        <x:v>3.7317897386606873</x:v>
      </x:c>
    </x:row>
    <x:row r="1328">
      <x:c r="A1328" s="33" t="str">
        <x:v>Castelos e Outposts</x:v>
      </x:c>
      <x:c r="B1328" s="34" t="n">
        <x:v>1950</x:v>
      </x:c>
      <x:c r="C1328" s="34" t="n">
        <x:v>1512746</x:v>
      </x:c>
      <x:c r="D1328" s="34" t="n">
        <x:v>58</x:v>
      </x:c>
      <x:c r="E1328" s="34" t="str">
        <x:v>Horsix</x:v>
      </x:c>
      <x:c r="F1328" s="34" t="n">
        <x:v>2435</x:v>
      </x:c>
      <x:c r="G1328" s="35" t="n">
        <x:f>IF(C1328=0,0,F1328/C1328*B1328)</x:f>
        <x:v>3.138828329408903</x:v>
      </x:c>
    </x:row>
    <x:row r="1329">
      <x:c r="A1329" s="33" t="str">
        <x:v>Castelos e Outposts</x:v>
      </x:c>
      <x:c r="B1329" s="34" t="n">
        <x:v>1950</x:v>
      </x:c>
      <x:c r="C1329" s="34" t="n">
        <x:v>1512746</x:v>
      </x:c>
      <x:c r="D1329" s="34" t="n">
        <x:v>59</x:v>
      </x:c>
      <x:c r="E1329" s="34" t="str">
        <x:v>Chuckzerah</x:v>
      </x:c>
      <x:c r="F1329" s="34" t="n">
        <x:v>1948</x:v>
      </x:c>
      <x:c r="G1329" s="35" t="n">
        <x:f>IF(C1329=0,0,F1329/C1329*B1329)</x:f>
        <x:v>2.511062663527122</x:v>
      </x:c>
    </x:row>
    <x:row r="1330">
      <x:c r="A1330" s="33" t="str">
        <x:v>Castelos e Outposts</x:v>
      </x:c>
      <x:c r="B1330" s="34" t="n">
        <x:v>1950</x:v>
      </x:c>
      <x:c r="C1330" s="34" t="n">
        <x:v>1512746</x:v>
      </x:c>
      <x:c r="D1330" s="34" t="n">
        <x:v>60</x:v>
      </x:c>
      <x:c r="E1330" s="34" t="str">
        <x:v>KABRITONHO</x:v>
      </x:c>
      <x:c r="F1330" s="34" t="n">
        <x:v>1948</x:v>
      </x:c>
      <x:c r="G1330" s="35" t="n">
        <x:f>IF(C1330=0,0,F1330/C1330*B1330)</x:f>
        <x:v>2.511062663527122</x:v>
      </x:c>
    </x:row>
    <x:row r="1331">
      <x:c r="A1331" s="33" t="str">
        <x:v>Castelos e Outposts</x:v>
      </x:c>
      <x:c r="B1331" s="34" t="n">
        <x:v>1950</x:v>
      </x:c>
      <x:c r="C1331" s="34" t="n">
        <x:v>1512746</x:v>
      </x:c>
      <x:c r="D1331" s="34" t="n">
        <x:v>61</x:v>
      </x:c>
      <x:c r="E1331" s="34" t="str">
        <x:v>LEOPOLD</x:v>
      </x:c>
      <x:c r="F1331" s="34" t="n">
        <x:v>1948</x:v>
      </x:c>
      <x:c r="G1331" s="35" t="n">
        <x:f>IF(C1331=0,0,F1331/C1331*B1331)</x:f>
        <x:v>2.511062663527122</x:v>
      </x:c>
    </x:row>
    <x:row r="1332">
      <x:c r="A1332" s="33" t="str">
        <x:v>Castelos e Outposts</x:v>
      </x:c>
      <x:c r="B1332" s="34" t="n">
        <x:v>1950</x:v>
      </x:c>
      <x:c r="C1332" s="34" t="n">
        <x:v>1512746</x:v>
      </x:c>
      <x:c r="D1332" s="34" t="n">
        <x:v>62</x:v>
      </x:c>
      <x:c r="E1332" s="34" t="str">
        <x:v>Julioczr</x:v>
      </x:c>
      <x:c r="F1332" s="34" t="n">
        <x:v>1628</x:v>
      </x:c>
      <x:c r="G1332" s="35" t="n">
        <x:f>IF(C1332=0,0,F1332/C1332*B1332)</x:f>
        <x:v>2.0985677701345766</x:v>
      </x:c>
    </x:row>
    <x:row r="1333">
      <x:c r="A1333" s="33" t="str">
        <x:v>Castelos e Outposts</x:v>
      </x:c>
      <x:c r="B1333" s="34" t="n">
        <x:v>1950</x:v>
      </x:c>
      <x:c r="C1333" s="34" t="n">
        <x:v>1512746</x:v>
      </x:c>
      <x:c r="D1333" s="34" t="n">
        <x:v>63</x:v>
      </x:c>
      <x:c r="E1333" s="34" t="str">
        <x:v>Djwd</x:v>
      </x:c>
      <x:c r="F1333" s="34" t="n">
        <x:v>1461</x:v>
      </x:c>
      <x:c r="G1333" s="35" t="n">
        <x:f>IF(C1333=0,0,F1333/C1333*B1333)</x:f>
        <x:v>1.8832969976453418</x:v>
      </x:c>
    </x:row>
    <x:row r="1334">
      <x:c r="A1334" s="33" t="str">
        <x:v>Castelos e Outposts</x:v>
      </x:c>
      <x:c r="B1334" s="34" t="n">
        <x:v>1950</x:v>
      </x:c>
      <x:c r="C1334" s="34" t="n">
        <x:v>1512746</x:v>
      </x:c>
      <x:c r="D1334" s="34" t="n">
        <x:v>64</x:v>
      </x:c>
      <x:c r="E1334" s="34" t="str">
        <x:v>SeuDanadoo</x:v>
      </x:c>
      <x:c r="F1334" s="34" t="n">
        <x:v>1349</x:v>
      </x:c>
      <x:c r="G1334" s="35" t="n">
        <x:f>IF(C1334=0,0,F1334/C1334*B1334)</x:f>
        <x:v>1.7389237849579506</x:v>
      </x:c>
    </x:row>
    <x:row r="1335">
      <x:c r="A1335" s="33" t="str">
        <x:v>Castelos e Outposts</x:v>
      </x:c>
      <x:c r="B1335" s="34" t="n">
        <x:v>1950</x:v>
      </x:c>
      <x:c r="C1335" s="34" t="n">
        <x:v>1512746</x:v>
      </x:c>
      <x:c r="D1335" s="34" t="n">
        <x:v>65</x:v>
      </x:c>
      <x:c r="E1335" s="34" t="str">
        <x:v>vitinraba</x:v>
      </x:c>
      <x:c r="F1335" s="34" t="n">
        <x:v>1299</x:v>
      </x:c>
      <x:c r="G1335" s="35" t="n">
        <x:f>IF(C1335=0,0,F1335/C1335*B1335)</x:f>
        <x:v>1.6744714578653652</x:v>
      </x:c>
    </x:row>
    <x:row r="1336">
      <x:c r="A1336" s="33" t="str">
        <x:v>Castelos e Outposts</x:v>
      </x:c>
      <x:c r="B1336" s="34" t="n">
        <x:v>1950</x:v>
      </x:c>
      <x:c r="C1336" s="34" t="n">
        <x:v>1512746</x:v>
      </x:c>
      <x:c r="D1336" s="34" t="n">
        <x:v>66</x:v>
      </x:c>
      <x:c r="E1336" s="34" t="str">
        <x:v>morrty</x:v>
      </x:c>
      <x:c r="F1336" s="34" t="n">
        <x:v>1299</x:v>
      </x:c>
      <x:c r="G1336" s="35" t="n">
        <x:f>IF(C1336=0,0,F1336/C1336*B1336)</x:f>
        <x:v>1.6744714578653652</x:v>
      </x:c>
    </x:row>
    <x:row r="1337">
      <x:c r="A1337" s="33" t="str">
        <x:v>Castelos e Outposts</x:v>
      </x:c>
      <x:c r="B1337" s="34" t="n">
        <x:v>1950</x:v>
      </x:c>
      <x:c r="C1337" s="34" t="n">
        <x:v>1512746</x:v>
      </x:c>
      <x:c r="D1337" s="34" t="n">
        <x:v>67</x:v>
      </x:c>
      <x:c r="E1337" s="34" t="str">
        <x:v>Merus</x:v>
      </x:c>
      <x:c r="F1337" s="34" t="n">
        <x:v>1156</x:v>
      </x:c>
      <x:c r="G1337" s="35" t="n">
        <x:f>IF(C1337=0,0,F1337/C1337*B1337)</x:f>
        <x:v>1.4901378023805716</x:v>
      </x:c>
    </x:row>
    <x:row r="1338">
      <x:c r="A1338" s="33" t="str">
        <x:v>Castelos e Outposts</x:v>
      </x:c>
      <x:c r="B1338" s="34" t="n">
        <x:v>1950</x:v>
      </x:c>
      <x:c r="C1338" s="34" t="n">
        <x:v>1512746</x:v>
      </x:c>
      <x:c r="D1338" s="34" t="n">
        <x:v>68</x:v>
      </x:c>
      <x:c r="E1338" s="34" t="str">
        <x:v>MARIOMALAN</x:v>
      </x:c>
      <x:c r="F1338" s="34" t="n">
        <x:v>1156</x:v>
      </x:c>
      <x:c r="G1338" s="35" t="n">
        <x:f>IF(C1338=0,0,F1338/C1338*B1338)</x:f>
        <x:v>1.4901378023805716</x:v>
      </x:c>
    </x:row>
    <x:row r="1339">
      <x:c r="A1339" s="33" t="str">
        <x:v>Castelos e Outposts</x:v>
      </x:c>
      <x:c r="B1339" s="34" t="n">
        <x:v>1950</x:v>
      </x:c>
      <x:c r="C1339" s="34" t="n">
        <x:v>1512746</x:v>
      </x:c>
      <x:c r="D1339" s="34" t="n">
        <x:v>69</x:v>
      </x:c>
      <x:c r="E1339" s="34" t="str">
        <x:v>ISpellNotFound</x:v>
      </x:c>
      <x:c r="F1339" s="34" t="n">
        <x:v>974</x:v>
      </x:c>
      <x:c r="G1339" s="35" t="n">
        <x:f>IF(C1339=0,0,F1339/C1339*B1339)</x:f>
        <x:v>1.255531331763561</x:v>
      </x:c>
    </x:row>
    <x:row r="1340">
      <x:c r="A1340" s="33" t="str">
        <x:v>Castelos e Outposts</x:v>
      </x:c>
      <x:c r="B1340" s="34" t="n">
        <x:v>1950</x:v>
      </x:c>
      <x:c r="C1340" s="34" t="n">
        <x:v>1512746</x:v>
      </x:c>
      <x:c r="D1340" s="34" t="n">
        <x:v>70</x:v>
      </x:c>
      <x:c r="E1340" s="34" t="str">
        <x:v>WillHue</x:v>
      </x:c>
      <x:c r="F1340" s="34" t="n">
        <x:v>974</x:v>
      </x:c>
      <x:c r="G1340" s="35" t="n">
        <x:f>IF(C1340=0,0,F1340/C1340*B1340)</x:f>
        <x:v>1.255531331763561</x:v>
      </x:c>
    </x:row>
    <x:row r="1341">
      <x:c r="A1341" s="33" t="str">
        <x:v>Castelos e Outposts</x:v>
      </x:c>
      <x:c r="B1341" s="34" t="n">
        <x:v>1950</x:v>
      </x:c>
      <x:c r="C1341" s="34" t="n">
        <x:v>1512746</x:v>
      </x:c>
      <x:c r="D1341" s="34" t="n">
        <x:v>71</x:v>
      </x:c>
      <x:c r="E1341" s="34" t="str">
        <x:v>FullTime</x:v>
      </x:c>
      <x:c r="F1341" s="34" t="n">
        <x:v>974</x:v>
      </x:c>
      <x:c r="G1341" s="35" t="n">
        <x:f>IF(C1341=0,0,F1341/C1341*B1341)</x:f>
        <x:v>1.255531331763561</x:v>
      </x:c>
    </x:row>
    <x:row r="1342">
      <x:c r="A1342" s="33" t="str">
        <x:v>Castelos e Outposts</x:v>
      </x:c>
      <x:c r="B1342" s="34" t="n">
        <x:v>1950</x:v>
      </x:c>
      <x:c r="C1342" s="34" t="n">
        <x:v>1512746</x:v>
      </x:c>
      <x:c r="D1342" s="34" t="n">
        <x:v>72</x:v>
      </x:c>
      <x:c r="E1342" s="34" t="str">
        <x:v>Telesss</x:v>
      </x:c>
      <x:c r="F1342" s="34" t="n">
        <x:v>974</x:v>
      </x:c>
      <x:c r="G1342" s="35" t="n">
        <x:f>IF(C1342=0,0,F1342/C1342*B1342)</x:f>
        <x:v>1.255531331763561</x:v>
      </x:c>
    </x:row>
    <x:row r="1343">
      <x:c r="A1343" s="33" t="str">
        <x:v>Castelos e Outposts</x:v>
      </x:c>
      <x:c r="B1343" s="34" t="n">
        <x:v>1950</x:v>
      </x:c>
      <x:c r="C1343" s="34" t="n">
        <x:v>1512746</x:v>
      </x:c>
      <x:c r="D1343" s="34" t="n">
        <x:v>73</x:v>
      </x:c>
      <x:c r="E1343" s="34" t="str">
        <x:v>Spotk</x:v>
      </x:c>
      <x:c r="F1343" s="34" t="n">
        <x:v>974</x:v>
      </x:c>
      <x:c r="G1343" s="35" t="n">
        <x:f>IF(C1343=0,0,F1343/C1343*B1343)</x:f>
        <x:v>1.255531331763561</x:v>
      </x:c>
    </x:row>
    <x:row r="1344">
      <x:c r="A1344" s="33" t="str">
        <x:v>Castelos e Outposts</x:v>
      </x:c>
      <x:c r="B1344" s="34" t="n">
        <x:v>1950</x:v>
      </x:c>
      <x:c r="C1344" s="34" t="n">
        <x:v>1512746</x:v>
      </x:c>
      <x:c r="D1344" s="34" t="n">
        <x:v>74</x:v>
      </x:c>
      <x:c r="E1344" s="34" t="str">
        <x:v>Kuntakint</x:v>
      </x:c>
      <x:c r="F1344" s="34" t="n">
        <x:v>904</x:v>
      </x:c>
      <x:c r="G1344" s="35" t="n">
        <x:f>IF(C1344=0,0,F1344/C1344*B1344)</x:f>
        <x:v>1.1652980738339418</x:v>
      </x:c>
    </x:row>
    <x:row r="1345">
      <x:c r="A1345" s="33" t="str">
        <x:v>Castelos e Outposts</x:v>
      </x:c>
      <x:c r="B1345" s="34" t="n">
        <x:v>1950</x:v>
      </x:c>
      <x:c r="C1345" s="34" t="n">
        <x:v>1512746</x:v>
      </x:c>
      <x:c r="D1345" s="34" t="n">
        <x:v>75</x:v>
      </x:c>
      <x:c r="E1345" s="34" t="str">
        <x:v>XIShanksXI</x:v>
      </x:c>
      <x:c r="F1345" s="34" t="n">
        <x:v>771</x:v>
      </x:c>
      <x:c r="G1345" s="35" t="n">
        <x:f>IF(C1345=0,0,F1345/C1345*B1345)</x:f>
        <x:v>0.9938548837676648</x:v>
      </x:c>
    </x:row>
    <x:row r="1346">
      <x:c r="A1346" s="33" t="str">
        <x:v>Castelos e Outposts</x:v>
      </x:c>
      <x:c r="B1346" s="34" t="n">
        <x:v>1950</x:v>
      </x:c>
      <x:c r="C1346" s="34" t="n">
        <x:v>1512746</x:v>
      </x:c>
      <x:c r="D1346" s="34" t="n">
        <x:v>76</x:v>
      </x:c>
      <x:c r="E1346" s="34" t="str">
        <x:v>OkiteKomi</x:v>
      </x:c>
      <x:c r="F1346" s="34" t="n">
        <x:v>771</x:v>
      </x:c>
      <x:c r="G1346" s="35" t="n">
        <x:f>IF(C1346=0,0,F1346/C1346*B1346)</x:f>
        <x:v>0.9938548837676648</x:v>
      </x:c>
    </x:row>
    <x:row r="1347">
      <x:c r="A1347" s="36" t="str">
        <x:v>Castelos e Outposts</x:v>
      </x:c>
      <x:c r="B1347" s="37" t="n">
        <x:v>1950</x:v>
      </x:c>
      <x:c r="C1347" s="37" t="n">
        <x:v>1512746</x:v>
      </x:c>
      <x:c r="D1347" s="37" t="n">
        <x:v>77</x:v>
      </x:c>
      <x:c r="E1347" s="37" t="str">
        <x:v>Merlinavo</x:v>
      </x:c>
      <x:c r="F1347" s="37" t="n">
        <x:v>649</x:v>
      </x:c>
      <x:c r="G1347" s="38" t="n">
        <x:f>IF(C1347=0,0,F1347/C1347*B1347)</x:f>
        <x:v>0.8365912056617568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88" hidden="0" customWidth="1"/>
  </x:cols>
  <x:sheetData>
    <x:row r="1" ht="30" customHeight="1">
      <x:c r="A1" s="3" t="str">
        <x:v>Fonte, método e controles</x:v>
      </x:c>
      <x:c r="B1" s="3" t="str">
        <x:v>Fonte, método e controles</x:v>
      </x:c>
      <x:c r="C1" s="3" t="str">
        <x:v>Fonte, método e controles</x:v>
      </x:c>
      <x:c r="D1" s="3" t="str">
        <x:v>Fonte, método e controles</x:v>
      </x:c>
    </x:row>
    <x:row r="3" ht="26" customHeight="1">
      <x:c r="A3" s="17" t="str">
        <x:v>Campo</x:v>
      </x:c>
      <x:c r="B3" s="19" t="str">
        <x:v>Valor</x:v>
      </x:c>
    </x:row>
    <x:row r="4" ht="30" customHeight="1">
      <x:c r="A4" s="5" t="str">
        <x:v>Pasta-fonte</x:v>
      </x:c>
      <x:c r="B4" s="50" t="str">
        <x:v>C:\Users\Lucas\Documents\pontos season 29082026</x:v>
      </x:c>
    </x:row>
    <x:row r="5" ht="30" customHeight="1">
      <x:c r="A5" s="5" t="str">
        <x:v>Quantidade de imagens</x:v>
      </x:c>
      <x:c r="B5" s="50" t="n">
        <x:v>106</x:v>
      </x:c>
    </x:row>
    <x:row r="6" ht="30" customHeight="1">
      <x:c r="A6" s="5" t="str">
        <x:v>Capturado em</x:v>
      </x:c>
      <x:c r="B6" s="50" t="str">
        <x:v>2026-08-29</x:v>
      </x:c>
    </x:row>
    <x:row r="7" ht="30" customHeight="1">
      <x:c r="A7" s="5" t="str">
        <x:v>Fórmula</x:v>
      </x:c>
      <x:c r="B7" s="50" t="str">
        <x:v>Pontos da categoria × contribuição do jogador ÷ total bruto da categoria</x:v>
      </x:c>
    </x:row>
    <x:row r="8" ht="30" customHeight="1">
      <x:c r="A8" s="5" t="str">
        <x:v>Pontos oficiais conciliados</x:v>
      </x:c>
      <x:c r="B8" s="50" t="n">
        <x:v>150732</x:v>
      </x:c>
    </x:row>
    <x:row r="9" ht="30" customHeight="1">
      <x:c r="A9" s="5" t="str">
        <x:v>Soma das categorias</x:v>
      </x:c>
      <x:c r="B9" s="50" t="n">
        <x:v>150732</x:v>
      </x:c>
    </x:row>
    <x:row r="10" ht="30" customHeight="1">
      <x:c r="A10" s="5" t="str">
        <x:v>Observação</x:v>
      </x:c>
      <x:c r="B10" s="50" t="str">
        <x:v>Rankings extraídos por OCR e revisados por continuidade de rank, ordem decrescente e totais exibidos no jogo.</x:v>
      </x:c>
    </x:row>
  </x:sheetData>
  <x:mergeCells>
    <x:mergeCell ref="A1:D1"/>
  </x:mergeCells>
  <x:pageMargins left="0.7" right="0.7" top="0.75" bottom="0.75" header="0.3" footer="0.3"/>
</x:worksheet>
</file>